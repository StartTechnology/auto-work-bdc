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CY\AppData\Roaming\SPB_Data\gitee\auto-work\交接\"/>
    </mc:Choice>
  </mc:AlternateContent>
  <xr:revisionPtr revIDLastSave="0" documentId="13_ncr:1_{9B856F5A-1355-4F7C-BFDB-2AF976B2377B}" xr6:coauthVersionLast="47" xr6:coauthVersionMax="47" xr10:uidLastSave="{00000000-0000-0000-0000-000000000000}"/>
  <bookViews>
    <workbookView xWindow="2295" yWindow="2730" windowWidth="27900" windowHeight="17865" xr2:uid="{00000000-000D-0000-FFFF-FFFF00000000}"/>
  </bookViews>
  <sheets>
    <sheet name="20240422" sheetId="12" r:id="rId1"/>
    <sheet name="20240412" sheetId="11" r:id="rId2"/>
    <sheet name="20240329" sheetId="10" r:id="rId3"/>
    <sheet name="20240320" sheetId="9" r:id="rId4"/>
    <sheet name="20240314" sheetId="8" r:id="rId5"/>
    <sheet name="20240307" sheetId="7" r:id="rId6"/>
    <sheet name="20240229" sheetId="5" r:id="rId7"/>
    <sheet name="20240227" sheetId="6" r:id="rId8"/>
    <sheet name="20240208" sheetId="4" r:id="rId9"/>
    <sheet name="20240131" sheetId="2" r:id="rId10"/>
    <sheet name="20240130" sheetId="1" r:id="rId11"/>
    <sheet name="20240129" sheetId="3" r:id="rId12"/>
  </sheets>
  <definedNames>
    <definedName name="_xlnm._FilterDatabase" localSheetId="6" hidden="1">'20240229'!$B$4:$I$111</definedName>
    <definedName name="_xlnm._FilterDatabase" localSheetId="5" hidden="1">'20240307'!$B$4:$I$6</definedName>
    <definedName name="_xlnm._FilterDatabase" localSheetId="4" hidden="1">'20240314'!$B$4:$I$7</definedName>
    <definedName name="_xlnm._FilterDatabase" localSheetId="3" hidden="1">'20240320'!$B$4:$I$7</definedName>
    <definedName name="_xlnm._FilterDatabase" localSheetId="2" hidden="1">'20240329'!$B$4:$I$106</definedName>
    <definedName name="_xlnm._FilterDatabase" localSheetId="1" hidden="1">'20240412'!$B$4:$I$88</definedName>
    <definedName name="_xlnm._FilterDatabase" localSheetId="0" hidden="1">'20240422'!$B$4:$I$57</definedName>
    <definedName name="_xlnm.Print_Area" localSheetId="9">'20240131'!$A$1:$J$29</definedName>
    <definedName name="_xlnm.Print_Area" localSheetId="8">'20240208'!$A$1:$J$29</definedName>
    <definedName name="_xlnm.Print_Area" localSheetId="7">'20240227'!$A$1:$J$29</definedName>
    <definedName name="_xlnm.Print_Area" localSheetId="6">'20240229'!$A$1:$J$129</definedName>
    <definedName name="_xlnm.Print_Area" localSheetId="5">'20240307'!$A$1:$J$24</definedName>
    <definedName name="_xlnm.Print_Area" localSheetId="4">'20240314'!$A$1:$J$24</definedName>
    <definedName name="_xlnm.Print_Area" localSheetId="3">'20240320'!$A$1:$J$24</definedName>
    <definedName name="_xlnm.Print_Area" localSheetId="2">'20240329'!$A$1:$J$125</definedName>
    <definedName name="_xlnm.Print_Area" localSheetId="1">'20240412'!$A$1:$J$105</definedName>
    <definedName name="_xlnm.Print_Area" localSheetId="0">'20240422'!$A$1:$J$74</definedName>
  </definedNames>
  <calcPr calcId="144525" calcMode="manual" calcCompleted="0" calcOnSave="0"/>
</workbook>
</file>

<file path=xl/calcChain.xml><?xml version="1.0" encoding="utf-8"?>
<calcChain xmlns="http://schemas.openxmlformats.org/spreadsheetml/2006/main">
  <c r="F24" i="4" l="1"/>
  <c r="E24" i="4"/>
  <c r="D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24" i="6"/>
  <c r="E24" i="6"/>
  <c r="D24" i="6"/>
  <c r="F23" i="6"/>
  <c r="E23" i="6"/>
  <c r="F22" i="6"/>
  <c r="E22" i="6"/>
  <c r="F21" i="6"/>
  <c r="E21" i="6"/>
  <c r="F20" i="6"/>
  <c r="E20" i="6"/>
  <c r="F19" i="6"/>
  <c r="E19" i="6"/>
  <c r="F18" i="6"/>
  <c r="E18" i="6"/>
  <c r="F17" i="6"/>
  <c r="E17" i="6"/>
  <c r="F16" i="6"/>
  <c r="E16" i="6"/>
  <c r="F15" i="6"/>
  <c r="E15" i="6"/>
  <c r="F124" i="5"/>
  <c r="E124" i="5"/>
  <c r="D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9" i="7"/>
  <c r="E19" i="7"/>
  <c r="D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19" i="8"/>
  <c r="E19" i="8"/>
  <c r="D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19" i="9"/>
  <c r="E19" i="9"/>
  <c r="D19" i="9"/>
  <c r="F18" i="9"/>
  <c r="E18" i="9"/>
  <c r="F17" i="9"/>
  <c r="E17" i="9"/>
  <c r="F16" i="9"/>
  <c r="E16" i="9"/>
  <c r="F15" i="9"/>
  <c r="E15" i="9"/>
  <c r="F14" i="9"/>
  <c r="E14" i="9"/>
  <c r="F13" i="9"/>
  <c r="E13" i="9"/>
  <c r="F12" i="9"/>
  <c r="E12" i="9"/>
  <c r="F11" i="9"/>
  <c r="E11" i="9"/>
  <c r="F10" i="9"/>
  <c r="E10" i="9"/>
  <c r="F120" i="10"/>
  <c r="E120" i="10"/>
  <c r="D120" i="10"/>
  <c r="F119" i="10"/>
  <c r="E119" i="10"/>
  <c r="F118" i="10"/>
  <c r="E118" i="10"/>
  <c r="F117" i="10"/>
  <c r="E117" i="10"/>
  <c r="F116" i="10"/>
  <c r="E116" i="10"/>
  <c r="F115" i="10"/>
  <c r="E115" i="10"/>
  <c r="F114" i="10"/>
  <c r="E114" i="10"/>
  <c r="F113" i="10"/>
  <c r="E113" i="10"/>
  <c r="F112" i="10"/>
  <c r="E112" i="10"/>
  <c r="F111" i="10"/>
  <c r="E111" i="10"/>
  <c r="F100" i="11"/>
  <c r="E100" i="11"/>
  <c r="D100" i="11"/>
  <c r="F99" i="11"/>
  <c r="E99" i="11"/>
  <c r="F98" i="11"/>
  <c r="E98" i="11"/>
  <c r="F97" i="11"/>
  <c r="E97" i="11"/>
  <c r="F96" i="11"/>
  <c r="E96" i="11"/>
  <c r="F95" i="11"/>
  <c r="E95" i="11"/>
  <c r="F94" i="11"/>
  <c r="E94" i="11"/>
  <c r="F93" i="11"/>
  <c r="E93" i="11"/>
  <c r="F92" i="11"/>
  <c r="E92" i="11"/>
  <c r="F91" i="11"/>
  <c r="E91" i="11"/>
  <c r="F69" i="12"/>
  <c r="E69" i="12"/>
  <c r="D69" i="12"/>
  <c r="F68" i="12"/>
  <c r="E68" i="12"/>
  <c r="F67" i="12"/>
  <c r="E67" i="12"/>
  <c r="F66" i="12"/>
  <c r="E66" i="12"/>
  <c r="F65" i="12"/>
  <c r="E65" i="12"/>
  <c r="F64" i="12"/>
  <c r="E64" i="12"/>
  <c r="F63" i="12"/>
  <c r="E63" i="12"/>
  <c r="F62" i="12"/>
  <c r="E62" i="12"/>
  <c r="F61" i="12"/>
  <c r="E61" i="12"/>
  <c r="F60" i="12"/>
  <c r="E60" i="12"/>
</calcChain>
</file>

<file path=xl/sharedStrings.xml><?xml version="1.0" encoding="utf-8"?>
<sst xmlns="http://schemas.openxmlformats.org/spreadsheetml/2006/main" count="3320" uniqueCount="1987">
  <si>
    <t>中国邮政储蓄银行吉安市分行抵（质）押品入库清单</t>
  </si>
  <si>
    <r>
      <rPr>
        <u/>
        <sz val="12"/>
        <rFont val="新宋体"/>
        <family val="3"/>
        <charset val="134"/>
      </rPr>
      <t xml:space="preserve">  </t>
    </r>
    <r>
      <rPr>
        <u/>
        <sz val="12"/>
        <rFont val="新宋体"/>
        <family val="3"/>
        <charset val="134"/>
      </rPr>
      <t>吉安市</t>
    </r>
    <r>
      <rPr>
        <u/>
        <sz val="12"/>
        <rFont val="新宋体"/>
        <family val="3"/>
        <charset val="134"/>
      </rPr>
      <t xml:space="preserve">  </t>
    </r>
    <r>
      <rPr>
        <sz val="12"/>
        <rFont val="新宋体"/>
        <family val="3"/>
        <charset val="134"/>
      </rPr>
      <t>（分</t>
    </r>
    <r>
      <rPr>
        <sz val="12"/>
        <rFont val="新宋体"/>
        <family val="3"/>
        <charset val="134"/>
      </rPr>
      <t>/</t>
    </r>
    <r>
      <rPr>
        <sz val="12"/>
        <rFont val="新宋体"/>
        <family val="3"/>
        <charset val="134"/>
      </rPr>
      <t>支）行运营管理部门</t>
    </r>
    <r>
      <rPr>
        <sz val="12"/>
        <rFont val="新宋体"/>
        <family val="3"/>
        <charset val="134"/>
      </rPr>
      <t>:</t>
    </r>
    <r>
      <rPr>
        <sz val="12"/>
        <rFont val="新宋体"/>
        <family val="3"/>
        <charset val="134"/>
      </rPr>
      <t>下列权利证书作为债务人在我行借款的抵（质）押凭证，请予以办理入库手续</t>
    </r>
  </si>
  <si>
    <t>移交日期 ：2024年   月   日               编号:01</t>
  </si>
  <si>
    <t>序号</t>
  </si>
  <si>
    <t>入库编号</t>
  </si>
  <si>
    <t>封包编号</t>
  </si>
  <si>
    <t>业务合同编号</t>
  </si>
  <si>
    <t>借款人名称</t>
  </si>
  <si>
    <t>抵质押人名称</t>
  </si>
  <si>
    <t>押品权证名称</t>
  </si>
  <si>
    <t>押品权证编号</t>
  </si>
  <si>
    <t>借款金额（万)</t>
  </si>
  <si>
    <t>备注</t>
  </si>
  <si>
    <t>24041609043600006305001</t>
  </si>
  <si>
    <t>3699950Q124040862585</t>
  </si>
  <si>
    <t>罗浩文</t>
  </si>
  <si>
    <t>二手房</t>
  </si>
  <si>
    <t>赣（2024）吉安市不动产证明第0001143号</t>
  </si>
  <si>
    <t>24042210043600006305001</t>
  </si>
  <si>
    <t>36010316115059670269</t>
  </si>
  <si>
    <t>蔡莉</t>
  </si>
  <si>
    <t>一手房</t>
  </si>
  <si>
    <t>赣（2024）吉安市不动产证明第0000721号</t>
  </si>
  <si>
    <t>24042210043600006305002</t>
  </si>
  <si>
    <t>3699950Q116104328423</t>
  </si>
  <si>
    <t>邓棉发</t>
  </si>
  <si>
    <t>邓棉发 胡敏</t>
  </si>
  <si>
    <t>赣（2024）吉安市不动产证明第0000839号</t>
  </si>
  <si>
    <t>24042210043600006305003</t>
  </si>
  <si>
    <t>36010316116021960940</t>
  </si>
  <si>
    <t>龙传</t>
  </si>
  <si>
    <t>赣（2024）吉安市不动产证明第0000731号</t>
  </si>
  <si>
    <t>24042210043600006305004</t>
  </si>
  <si>
    <t>3699950Q116114577911</t>
  </si>
  <si>
    <t>王世武</t>
  </si>
  <si>
    <t>赣（2024）吉安市不动产证明第0000840号</t>
  </si>
  <si>
    <t>24042210043600006305005</t>
  </si>
  <si>
    <t>3699950Q116083619720</t>
  </si>
  <si>
    <t>王文宾</t>
  </si>
  <si>
    <t>王文宾 王金桃</t>
  </si>
  <si>
    <t>赣（2024）吉安市不动产证明第0000844号</t>
  </si>
  <si>
    <t>24042210043600006305006</t>
  </si>
  <si>
    <t>36010316115070216932</t>
  </si>
  <si>
    <t>许玲</t>
  </si>
  <si>
    <t>谢邦强 许玲</t>
  </si>
  <si>
    <t>赣（2024）吉安市不动产证明第0000846号</t>
  </si>
  <si>
    <t>24042212FQ3600006301002</t>
  </si>
  <si>
    <t>2024032399003491</t>
  </si>
  <si>
    <t>杨振</t>
  </si>
  <si>
    <t>车贷</t>
  </si>
  <si>
    <t>360020286916</t>
  </si>
  <si>
    <t>24042212FQ3600006301003</t>
  </si>
  <si>
    <t>2024030899005757</t>
  </si>
  <si>
    <t>柯有贵</t>
  </si>
  <si>
    <t>360020286795</t>
  </si>
  <si>
    <t>24042212FQ3600006301004</t>
  </si>
  <si>
    <t>2024031899002508</t>
  </si>
  <si>
    <t>秦九斤</t>
  </si>
  <si>
    <t>360020286910</t>
  </si>
  <si>
    <t>24042212FQ3600006301005</t>
  </si>
  <si>
    <t>2024031899001485</t>
  </si>
  <si>
    <t>罗琳</t>
  </si>
  <si>
    <t>360022094610</t>
  </si>
  <si>
    <t>24042212FQ3600006301006</t>
  </si>
  <si>
    <t>2024031999007460</t>
  </si>
  <si>
    <t>钟文军</t>
  </si>
  <si>
    <t>360020286599</t>
  </si>
  <si>
    <t>24042212FQ3600006301007</t>
  </si>
  <si>
    <t>2024033099000719</t>
  </si>
  <si>
    <t>余齐秀</t>
  </si>
  <si>
    <t>360020286988</t>
  </si>
  <si>
    <t>24042212FQ3600006301008</t>
  </si>
  <si>
    <t>2024032499000057</t>
  </si>
  <si>
    <t>关臻</t>
  </si>
  <si>
    <t>360020286899</t>
  </si>
  <si>
    <t>24042212FQ3600006301009</t>
  </si>
  <si>
    <t>2024032399000473</t>
  </si>
  <si>
    <t>冯立波</t>
  </si>
  <si>
    <t>360020267700</t>
  </si>
  <si>
    <t>24042212FQ3600006301010</t>
  </si>
  <si>
    <t>2024032899007152</t>
  </si>
  <si>
    <t>刘丽</t>
  </si>
  <si>
    <t>360020286521</t>
  </si>
  <si>
    <t>24042212FQ3600006301011</t>
  </si>
  <si>
    <t>2024033199000202</t>
  </si>
  <si>
    <t>刘彩云</t>
  </si>
  <si>
    <t>360020286661</t>
  </si>
  <si>
    <t>24042212FQ3600006301012</t>
  </si>
  <si>
    <t>2024033099003687</t>
  </si>
  <si>
    <t>周来香</t>
  </si>
  <si>
    <t>360020286696</t>
  </si>
  <si>
    <t>24042212FQ3600006301013</t>
  </si>
  <si>
    <t>2024040799000703</t>
  </si>
  <si>
    <t>张鹏</t>
  </si>
  <si>
    <t>360020286829</t>
  </si>
  <si>
    <t>24042212FQ3600006301014</t>
  </si>
  <si>
    <t>2024032699006994</t>
  </si>
  <si>
    <t>彭恭铓</t>
  </si>
  <si>
    <t>360020286641</t>
  </si>
  <si>
    <t>24042212FQ3600006301015</t>
  </si>
  <si>
    <t>2024030580004843</t>
  </si>
  <si>
    <t>曾小兰</t>
  </si>
  <si>
    <t>360019492935</t>
  </si>
  <si>
    <t>24042212FQ3600006301016</t>
  </si>
  <si>
    <t>2024031480002540</t>
  </si>
  <si>
    <t>曾庆</t>
  </si>
  <si>
    <t>360019492904</t>
  </si>
  <si>
    <t>24042212FQ3600006301017</t>
  </si>
  <si>
    <t>2024032499003110</t>
  </si>
  <si>
    <t>朱庆庆</t>
  </si>
  <si>
    <t>360020286983</t>
  </si>
  <si>
    <t>24042212FQ3600006301018</t>
  </si>
  <si>
    <t>2024031080000911</t>
  </si>
  <si>
    <t>杨婵</t>
  </si>
  <si>
    <t>360019492923</t>
  </si>
  <si>
    <t>24042212FQ3600006301019</t>
  </si>
  <si>
    <t>2024032199006173</t>
  </si>
  <si>
    <t>梁永鹏</t>
  </si>
  <si>
    <t>360020286636</t>
  </si>
  <si>
    <t>24042212FQ3600006301020</t>
  </si>
  <si>
    <t>2024031880006141</t>
  </si>
  <si>
    <t>毛远文</t>
  </si>
  <si>
    <t>360020204339</t>
  </si>
  <si>
    <t>24042212FQ3600006301021</t>
  </si>
  <si>
    <t>2024033199000987</t>
  </si>
  <si>
    <t>王璐</t>
  </si>
  <si>
    <t>360020286984</t>
  </si>
  <si>
    <t>24042212FQ3600006301022</t>
  </si>
  <si>
    <t>2024031799001369</t>
  </si>
  <si>
    <t>罗春艳</t>
  </si>
  <si>
    <t>360020286740</t>
  </si>
  <si>
    <t>24042212FQ3600006301023</t>
  </si>
  <si>
    <t>2024030899005170</t>
  </si>
  <si>
    <t>谢平妹</t>
  </si>
  <si>
    <t>360019492931</t>
  </si>
  <si>
    <t>24042212FQ3600006301024</t>
  </si>
  <si>
    <t>2024031380001930</t>
  </si>
  <si>
    <t>邹声通</t>
  </si>
  <si>
    <t>360020204328</t>
  </si>
  <si>
    <t>24042212FQ3600006301025</t>
  </si>
  <si>
    <t>2024031180004312</t>
  </si>
  <si>
    <t>郭建平</t>
  </si>
  <si>
    <t>360022094980</t>
  </si>
  <si>
    <t>24042212FQ3600006301026</t>
  </si>
  <si>
    <t>2024032499001170</t>
  </si>
  <si>
    <t>郭鸿霞</t>
  </si>
  <si>
    <t>360020286958</t>
  </si>
  <si>
    <t>24042212FQ3600006301027</t>
  </si>
  <si>
    <t>2024033199002747</t>
  </si>
  <si>
    <t>陈玉俊</t>
  </si>
  <si>
    <t>360020286669</t>
  </si>
  <si>
    <t>24042212FQ3600006301028</t>
  </si>
  <si>
    <t>2024031299006624</t>
  </si>
  <si>
    <t>高卫贵</t>
  </si>
  <si>
    <t>360020286647</t>
  </si>
  <si>
    <t>24042212FQ3600006301029</t>
  </si>
  <si>
    <t>2024031899000062</t>
  </si>
  <si>
    <t>龚干辉</t>
  </si>
  <si>
    <t>360021825477</t>
  </si>
  <si>
    <t>24042212FQ3600006301030</t>
  </si>
  <si>
    <t>2024030399001915</t>
  </si>
  <si>
    <t>王飞</t>
  </si>
  <si>
    <t>360022094642</t>
  </si>
  <si>
    <t>24042212FQ3600006301032</t>
  </si>
  <si>
    <t>2023053080007336</t>
  </si>
  <si>
    <t>欧阳建鑫</t>
  </si>
  <si>
    <t>360019457619</t>
  </si>
  <si>
    <t>24042212043600006305001</t>
  </si>
  <si>
    <t>36010278124039650285</t>
  </si>
  <si>
    <t>刘偲帆</t>
  </si>
  <si>
    <t>360020286969</t>
  </si>
  <si>
    <t>24042212043600006305002</t>
  </si>
  <si>
    <t>36010304124030047891</t>
  </si>
  <si>
    <t>刘磊</t>
  </si>
  <si>
    <t>吉安市永佳实业有限公司</t>
  </si>
  <si>
    <t>360020286862</t>
  </si>
  <si>
    <t>24042212043600006305003</t>
  </si>
  <si>
    <t>36010304124030095751</t>
  </si>
  <si>
    <t>360020286544</t>
  </si>
  <si>
    <t>24042212043600006305004</t>
  </si>
  <si>
    <t>36010278124039647422</t>
  </si>
  <si>
    <t>宋建鹏</t>
  </si>
  <si>
    <t>360020286793</t>
  </si>
  <si>
    <t>24042212043600006305005</t>
  </si>
  <si>
    <t>36010278124039312405</t>
  </si>
  <si>
    <t>宋连英</t>
  </si>
  <si>
    <t>360020292314</t>
  </si>
  <si>
    <t>24042212043600006305006</t>
  </si>
  <si>
    <t>36010278124039759789</t>
  </si>
  <si>
    <t>张小林</t>
  </si>
  <si>
    <t>360020282066</t>
  </si>
  <si>
    <t>24042212043600006305007</t>
  </si>
  <si>
    <t>36010278124039333208</t>
  </si>
  <si>
    <t>朱求英</t>
  </si>
  <si>
    <t>360020282039</t>
  </si>
  <si>
    <t>24042212043600006305008</t>
  </si>
  <si>
    <t>36010278124029047273</t>
  </si>
  <si>
    <t>朱芹</t>
  </si>
  <si>
    <t>360020292488</t>
  </si>
  <si>
    <t>24042212043600006305009</t>
  </si>
  <si>
    <t>36010304124039808028</t>
  </si>
  <si>
    <t>罗水平</t>
  </si>
  <si>
    <t>江西惠南新材料科技有限公司</t>
  </si>
  <si>
    <t>360022094937</t>
  </si>
  <si>
    <t>24042214043600006305002</t>
  </si>
  <si>
    <t>3699950Q124030086672</t>
  </si>
  <si>
    <t>罗黎强</t>
  </si>
  <si>
    <t>360022094827</t>
  </si>
  <si>
    <t>24042214043600006305001</t>
  </si>
  <si>
    <t>36010278124039910635</t>
  </si>
  <si>
    <t>胡耀敏</t>
  </si>
  <si>
    <t>360020286868</t>
  </si>
  <si>
    <t>24042214043600006305003</t>
  </si>
  <si>
    <t>36010304124029054680</t>
  </si>
  <si>
    <t>陈春花</t>
  </si>
  <si>
    <t>360020183602</t>
  </si>
  <si>
    <t>入库</t>
  </si>
  <si>
    <t>船舶</t>
  </si>
  <si>
    <t>商贷</t>
  </si>
  <si>
    <t>综消</t>
  </si>
  <si>
    <t>再就业小贷</t>
  </si>
  <si>
    <t>其他定期单</t>
  </si>
  <si>
    <t>小企业</t>
  </si>
  <si>
    <t>抵质押品移交人员意见</t>
  </si>
  <si>
    <t>作业监督岗：</t>
  </si>
  <si>
    <t>日期： 2024 年  月  日</t>
  </si>
  <si>
    <t>客户经理：</t>
  </si>
  <si>
    <t>现金运营人员：</t>
  </si>
  <si>
    <t>24040213043600006305006</t>
  </si>
  <si>
    <t>36010330124030452721</t>
  </si>
  <si>
    <t>陈伟伟</t>
  </si>
  <si>
    <t>赣（2024）吉安市不动产证明第0001039号</t>
  </si>
  <si>
    <t>24041016043600006305001</t>
  </si>
  <si>
    <t>3699950Q124040730565</t>
  </si>
  <si>
    <t>赖观海</t>
  </si>
  <si>
    <t>张玲玲 赖观海</t>
  </si>
  <si>
    <t>赣（2024）吉安市不动产证明第0001086号</t>
  </si>
  <si>
    <t>24040213043600006305001</t>
  </si>
  <si>
    <t>36010330123103596493</t>
  </si>
  <si>
    <t>曾翠华</t>
  </si>
  <si>
    <t>曾翠华 刘九满</t>
  </si>
  <si>
    <t>赣（2024）吉安市不动产证明第0001040号</t>
  </si>
  <si>
    <t>24041210043600006305001</t>
  </si>
  <si>
    <t>36010330123103281945</t>
  </si>
  <si>
    <t>薛婵娟</t>
  </si>
  <si>
    <t>杨金雄 薛婵娟</t>
  </si>
  <si>
    <t>赣（2024）吉安市不动产证明第0001131号</t>
  </si>
  <si>
    <t>24041114043600006305001</t>
  </si>
  <si>
    <t>36010278124028549646</t>
  </si>
  <si>
    <t>严洪清</t>
  </si>
  <si>
    <t>汽车贷款</t>
  </si>
  <si>
    <t>360020282363</t>
  </si>
  <si>
    <t>24041114043600006305002</t>
  </si>
  <si>
    <t>3699950Q124039213556</t>
  </si>
  <si>
    <t>乐兰香</t>
  </si>
  <si>
    <t>360019510904</t>
  </si>
  <si>
    <t>24041114043600006305003</t>
  </si>
  <si>
    <t>36010278124028582434</t>
  </si>
  <si>
    <t>任小红</t>
  </si>
  <si>
    <t>360020282227</t>
  </si>
  <si>
    <t>24041113FQ3600006301001</t>
  </si>
  <si>
    <t>2024022499002309</t>
  </si>
  <si>
    <t>何彪</t>
  </si>
  <si>
    <t>汽车分期</t>
  </si>
  <si>
    <t>360020292477</t>
  </si>
  <si>
    <t>24041113FQ3600006301002</t>
  </si>
  <si>
    <t>2023112180003132</t>
  </si>
  <si>
    <t>刘乐</t>
  </si>
  <si>
    <t>360020281319</t>
  </si>
  <si>
    <t>24041114043600006305004</t>
  </si>
  <si>
    <t>36010278124017853339</t>
  </si>
  <si>
    <t>刘乐才</t>
  </si>
  <si>
    <t>360020292188</t>
  </si>
  <si>
    <t>24041114043600006305005</t>
  </si>
  <si>
    <t>36010278124028485662</t>
  </si>
  <si>
    <t>刘吉庆</t>
  </si>
  <si>
    <t>360020282112</t>
  </si>
  <si>
    <t>24041114043600006305006</t>
  </si>
  <si>
    <t>36010278124017640157</t>
  </si>
  <si>
    <t>刘松松</t>
  </si>
  <si>
    <t>360020292343</t>
  </si>
  <si>
    <t>24041114043600006305007</t>
  </si>
  <si>
    <t>36010278123126426101</t>
  </si>
  <si>
    <t>刘永连</t>
  </si>
  <si>
    <t>360020297412</t>
  </si>
  <si>
    <t>24041113FQ3600006301003</t>
  </si>
  <si>
    <t>2024032299003743</t>
  </si>
  <si>
    <t>匡唐明</t>
  </si>
  <si>
    <t>360020286913</t>
  </si>
  <si>
    <t>24041114043600006305008</t>
  </si>
  <si>
    <t>36010278124017775874</t>
  </si>
  <si>
    <t>卢星</t>
  </si>
  <si>
    <t>360020292350</t>
  </si>
  <si>
    <t>24041115043600006305030</t>
  </si>
  <si>
    <t>36010304124028771977</t>
  </si>
  <si>
    <t>李敏</t>
  </si>
  <si>
    <t>吉安市智敏建筑工程有限公司</t>
  </si>
  <si>
    <t>360020292451</t>
  </si>
  <si>
    <t>24041114043600006305009</t>
  </si>
  <si>
    <t>36010278124018169816</t>
  </si>
  <si>
    <t>吴文莲</t>
  </si>
  <si>
    <t>360020292409</t>
  </si>
  <si>
    <t>24041114043600006305010</t>
  </si>
  <si>
    <t>36010278124028360213</t>
  </si>
  <si>
    <t>吴艳红</t>
  </si>
  <si>
    <t>360020280405</t>
  </si>
  <si>
    <t>24041114043600006305011</t>
  </si>
  <si>
    <t>36010278124017613000</t>
  </si>
  <si>
    <t>吴雨群</t>
  </si>
  <si>
    <t>360020292051</t>
  </si>
  <si>
    <t>24041113FQ3600006301004</t>
  </si>
  <si>
    <t>2024010580002463</t>
  </si>
  <si>
    <t>周丹</t>
  </si>
  <si>
    <t>360019492765</t>
  </si>
  <si>
    <t>24041113FQ3600006301005</t>
  </si>
  <si>
    <t>2024022199001394</t>
  </si>
  <si>
    <t>周兵</t>
  </si>
  <si>
    <t>360020292473</t>
  </si>
  <si>
    <t>24041113FQ3600006301006</t>
  </si>
  <si>
    <t>2024030399001496</t>
  </si>
  <si>
    <t>周诗琪</t>
  </si>
  <si>
    <t>360020292312</t>
  </si>
  <si>
    <t>24041113FQ3600006301007</t>
  </si>
  <si>
    <t>2024031999003284</t>
  </si>
  <si>
    <t>唐甜雨霏</t>
  </si>
  <si>
    <t>360020286852</t>
  </si>
  <si>
    <t>24041115043600006305001</t>
  </si>
  <si>
    <t>36010278124017197623</t>
  </si>
  <si>
    <t>姜雪丽</t>
  </si>
  <si>
    <t>360020292028</t>
  </si>
  <si>
    <t>24041113FQ3600006301008</t>
  </si>
  <si>
    <t>2023092980000191</t>
  </si>
  <si>
    <t>康为财</t>
  </si>
  <si>
    <t>360019398147</t>
  </si>
  <si>
    <t>24041113FQ3600006301009</t>
  </si>
  <si>
    <t>2023102780001908</t>
  </si>
  <si>
    <t>张书莹</t>
  </si>
  <si>
    <t>360020310261</t>
  </si>
  <si>
    <t>24041115043600006305002</t>
  </si>
  <si>
    <t>36010278124028944366</t>
  </si>
  <si>
    <t>张俊杰</t>
  </si>
  <si>
    <t>360020146991</t>
  </si>
  <si>
    <t>24041115043600006305003</t>
  </si>
  <si>
    <t>36010278124018237188</t>
  </si>
  <si>
    <t>张扬辉</t>
  </si>
  <si>
    <t>360020146623</t>
  </si>
  <si>
    <t>24041115043600006305004</t>
  </si>
  <si>
    <t>36010278124028479438</t>
  </si>
  <si>
    <t>张运娣</t>
  </si>
  <si>
    <t>360020282034</t>
  </si>
  <si>
    <t>24041113FQ3600006301010</t>
  </si>
  <si>
    <t>2023111280000801</t>
  </si>
  <si>
    <t>张雯婧</t>
  </si>
  <si>
    <t>360020310449</t>
  </si>
  <si>
    <t>24041115043600006305031</t>
  </si>
  <si>
    <t>36010304124017831739</t>
  </si>
  <si>
    <t>戴良华</t>
  </si>
  <si>
    <t>360020292082</t>
  </si>
  <si>
    <t>24041113FQ3600006301011</t>
  </si>
  <si>
    <t>2024022499001325</t>
  </si>
  <si>
    <t>曹月保</t>
  </si>
  <si>
    <t>360020292315</t>
  </si>
  <si>
    <t>24041115043600006305005</t>
  </si>
  <si>
    <t>36010278124028292036</t>
  </si>
  <si>
    <t>曾和平</t>
  </si>
  <si>
    <t>360020187215</t>
  </si>
  <si>
    <t>24041115043600006305006</t>
  </si>
  <si>
    <t>36010278124018246322</t>
  </si>
  <si>
    <t>曾晓华</t>
  </si>
  <si>
    <t>360020292045</t>
  </si>
  <si>
    <t>24041115043600006305007</t>
  </si>
  <si>
    <t>36010278124017678715</t>
  </si>
  <si>
    <t>曾龙梅</t>
  </si>
  <si>
    <t>360020297326</t>
  </si>
  <si>
    <t>24041115043600006305008</t>
  </si>
  <si>
    <t>3699950Q124029087059</t>
  </si>
  <si>
    <t>朱春树</t>
  </si>
  <si>
    <t>360019510917</t>
  </si>
  <si>
    <t>24041113FQ3600006301012</t>
  </si>
  <si>
    <t>2024022899003636</t>
  </si>
  <si>
    <t>朱清华</t>
  </si>
  <si>
    <t>360020292487</t>
  </si>
  <si>
    <t>24041113FQ3600006301013</t>
  </si>
  <si>
    <t>2024030199004766</t>
  </si>
  <si>
    <t>李人红</t>
  </si>
  <si>
    <t>360020286744</t>
  </si>
  <si>
    <t>24041115043600006305009</t>
  </si>
  <si>
    <t>36010278124028308576</t>
  </si>
  <si>
    <t>李小珍</t>
  </si>
  <si>
    <t>360020183707</t>
  </si>
  <si>
    <t>24041115043600006305010</t>
  </si>
  <si>
    <t>36010278124028403237</t>
  </si>
  <si>
    <t>李红英</t>
  </si>
  <si>
    <t>360020311440</t>
  </si>
  <si>
    <t>24041113FQ3600006301014</t>
  </si>
  <si>
    <t>2024022699004146</t>
  </si>
  <si>
    <t>林冬英</t>
  </si>
  <si>
    <t>360020292475</t>
  </si>
  <si>
    <t>24041115043600006305011</t>
  </si>
  <si>
    <t>36010278124018185667</t>
  </si>
  <si>
    <t>梁俏丽</t>
  </si>
  <si>
    <t>360020311433</t>
  </si>
  <si>
    <t>24041113FQ3600006301015</t>
  </si>
  <si>
    <t>2024030480004040</t>
  </si>
  <si>
    <t>欧阳玉婷</t>
  </si>
  <si>
    <t>360019492692</t>
  </si>
  <si>
    <t>24041115043600006305012</t>
  </si>
  <si>
    <t>36010278124018200863</t>
  </si>
  <si>
    <t>欧阳翔</t>
  </si>
  <si>
    <t>360020280474</t>
  </si>
  <si>
    <t>24041115043600006305013</t>
  </si>
  <si>
    <t>36010304124017035600</t>
  </si>
  <si>
    <t>沈梅兰</t>
  </si>
  <si>
    <t>江西丰和建材有限公司</t>
  </si>
  <si>
    <t>360020264731</t>
  </si>
  <si>
    <t>24041115043600006305014</t>
  </si>
  <si>
    <t>36010304124017650255</t>
  </si>
  <si>
    <t>周云</t>
  </si>
  <si>
    <t>江西磐强置业有限公司</t>
  </si>
  <si>
    <t>360020292232</t>
  </si>
  <si>
    <t>24041115043600006305032</t>
  </si>
  <si>
    <t>36010304124017650543</t>
  </si>
  <si>
    <t>周鹏</t>
  </si>
  <si>
    <t>360020292279</t>
  </si>
  <si>
    <t>24041115043600006305015</t>
  </si>
  <si>
    <t>36010304124017964719</t>
  </si>
  <si>
    <t>沈晓艳</t>
  </si>
  <si>
    <t>泰和县文田祥和涵管厂</t>
  </si>
  <si>
    <t>360020292227</t>
  </si>
  <si>
    <t>24041113FQ3600006301016</t>
  </si>
  <si>
    <t>2024030799005102</t>
  </si>
  <si>
    <t>王先荣</t>
  </si>
  <si>
    <t>360020286511</t>
  </si>
  <si>
    <t>24041113FQ3600006301017</t>
  </si>
  <si>
    <t>2024031899003827</t>
  </si>
  <si>
    <t>王小燕</t>
  </si>
  <si>
    <t>360020286974</t>
  </si>
  <si>
    <t>24041115043600006305016</t>
  </si>
  <si>
    <t>36010278124016804320</t>
  </si>
  <si>
    <t>王浩华</t>
  </si>
  <si>
    <t>360020297288</t>
  </si>
  <si>
    <t>24041115043600006305018</t>
  </si>
  <si>
    <t>36010278124028568950</t>
  </si>
  <si>
    <t>王琼华</t>
  </si>
  <si>
    <t>360020292424</t>
  </si>
  <si>
    <t>24041113FQ3600006301018</t>
  </si>
  <si>
    <t>2024030599004399</t>
  </si>
  <si>
    <t>瞿杰姑</t>
  </si>
  <si>
    <t>360020292476</t>
  </si>
  <si>
    <t>24041113FQ3600006301019</t>
  </si>
  <si>
    <t>2024031899002229</t>
  </si>
  <si>
    <t>秦佳</t>
  </si>
  <si>
    <t>360020286909</t>
  </si>
  <si>
    <t>24041115043600006305019</t>
  </si>
  <si>
    <t>36010278124018122898</t>
  </si>
  <si>
    <t>罗文军</t>
  </si>
  <si>
    <t>360020292095</t>
  </si>
  <si>
    <t>24041115043600006305020</t>
  </si>
  <si>
    <t>36010278124028501142</t>
  </si>
  <si>
    <t>罗金香</t>
  </si>
  <si>
    <t>360018858296</t>
  </si>
  <si>
    <t>24041113FQ3600006301020</t>
  </si>
  <si>
    <t>2024031799003133</t>
  </si>
  <si>
    <t>罗靖</t>
  </si>
  <si>
    <t>360020286683</t>
  </si>
  <si>
    <t>24041113FQ3600006301021</t>
  </si>
  <si>
    <t>2024030499006346</t>
  </si>
  <si>
    <t>肖婷</t>
  </si>
  <si>
    <t>360020286705</t>
  </si>
  <si>
    <t>24041115043600006305021</t>
  </si>
  <si>
    <t>36010278124018257718</t>
  </si>
  <si>
    <t>肖志远</t>
  </si>
  <si>
    <t>360019512692</t>
  </si>
  <si>
    <t>24041113FQ3600006301022</t>
  </si>
  <si>
    <t>2024030899002603</t>
  </si>
  <si>
    <t>肖春兰</t>
  </si>
  <si>
    <t>360020286715</t>
  </si>
  <si>
    <t>24041114FQ3600006301001</t>
  </si>
  <si>
    <t>2024022899003713</t>
  </si>
  <si>
    <t>肖治理</t>
  </si>
  <si>
    <t>360020292484</t>
  </si>
  <si>
    <t>24041115043600006305022</t>
  </si>
  <si>
    <t>36010278124017844240</t>
  </si>
  <si>
    <t>胡丽娟</t>
  </si>
  <si>
    <t>360020292096</t>
  </si>
  <si>
    <t>24041114FQ3600006301002</t>
  </si>
  <si>
    <t>2023112180001545</t>
  </si>
  <si>
    <t>谢小英</t>
  </si>
  <si>
    <t>360020310332</t>
  </si>
  <si>
    <t>24041115043600006305023</t>
  </si>
  <si>
    <t>36010278124017055147</t>
  </si>
  <si>
    <t>谢燕孙</t>
  </si>
  <si>
    <t>360020280283</t>
  </si>
  <si>
    <t>24041114FQ3600006301003</t>
  </si>
  <si>
    <t>2024030299002792</t>
  </si>
  <si>
    <t>贺健</t>
  </si>
  <si>
    <t>360020292496</t>
  </si>
  <si>
    <t>24041114FQ3600006301004</t>
  </si>
  <si>
    <t>2024030599003663</t>
  </si>
  <si>
    <t>赵用欢</t>
  </si>
  <si>
    <t>360020286792</t>
  </si>
  <si>
    <t>24041114FQ3600006301005</t>
  </si>
  <si>
    <t>2023123180001400</t>
  </si>
  <si>
    <t>邓振</t>
  </si>
  <si>
    <t>360019492865</t>
  </si>
  <si>
    <t>24041114FQ3600006301006</t>
  </si>
  <si>
    <t>2023092380001019</t>
  </si>
  <si>
    <t>邹元钦</t>
  </si>
  <si>
    <t>360019398051</t>
  </si>
  <si>
    <t>24041115043600006305024</t>
  </si>
  <si>
    <t>36010278124018234250</t>
  </si>
  <si>
    <t>邹林财</t>
  </si>
  <si>
    <t>360020292238</t>
  </si>
  <si>
    <t>24041115043600006305025</t>
  </si>
  <si>
    <t>36010278124016612822</t>
  </si>
  <si>
    <t>郑娟娟</t>
  </si>
  <si>
    <t>360020311430</t>
  </si>
  <si>
    <t>24041115043600006305026</t>
  </si>
  <si>
    <t>36010278124017019980</t>
  </si>
  <si>
    <t>郑志玲</t>
  </si>
  <si>
    <t>360020297180</t>
  </si>
  <si>
    <t>24041114FQ3600006301007</t>
  </si>
  <si>
    <t>2024031299007192</t>
  </si>
  <si>
    <t>郭锦明</t>
  </si>
  <si>
    <t>360020286528</t>
  </si>
  <si>
    <t>24041114FQ3600006301008</t>
  </si>
  <si>
    <t>2024012599000997</t>
  </si>
  <si>
    <t>钟爱</t>
  </si>
  <si>
    <t>360020286720</t>
  </si>
  <si>
    <t>24041115043600006305027</t>
  </si>
  <si>
    <t>36010278124028769352</t>
  </si>
  <si>
    <t>陈俊杰</t>
  </si>
  <si>
    <t>360020146841</t>
  </si>
  <si>
    <t>24041114FQ3600006301009</t>
  </si>
  <si>
    <t>2024020299004270</t>
  </si>
  <si>
    <t>陈芳美</t>
  </si>
  <si>
    <t>360020286706</t>
  </si>
  <si>
    <t>24041114FQ3600006301010</t>
  </si>
  <si>
    <t>2024030480003922</t>
  </si>
  <si>
    <t>陈莹</t>
  </si>
  <si>
    <t>360019492699</t>
  </si>
  <si>
    <t>24041114FQ3600006301011</t>
  </si>
  <si>
    <t>2024022880002568</t>
  </si>
  <si>
    <t>颜冬艳</t>
  </si>
  <si>
    <t>360019492697</t>
  </si>
  <si>
    <t>24041114FQ3600006301012</t>
  </si>
  <si>
    <t>2023110680001824</t>
  </si>
  <si>
    <t>黄小亮</t>
  </si>
  <si>
    <t>360020310421</t>
  </si>
  <si>
    <t>24041115043600006305028</t>
  </si>
  <si>
    <t>36010278124028496801</t>
  </si>
  <si>
    <t>黄新磊</t>
  </si>
  <si>
    <t>360020282035</t>
  </si>
  <si>
    <t>24041114FQ3600006301013</t>
  </si>
  <si>
    <t>2023100680001888</t>
  </si>
  <si>
    <t>黄清</t>
  </si>
  <si>
    <t>360020310027</t>
  </si>
  <si>
    <t>24041114FQ3600006301015</t>
  </si>
  <si>
    <t>2023102380001518</t>
  </si>
  <si>
    <t>黄雪辉</t>
  </si>
  <si>
    <t>360016464223</t>
  </si>
  <si>
    <t>24041114FQ3600006301016</t>
  </si>
  <si>
    <t>2024031399003348</t>
  </si>
  <si>
    <t>龙艳梅</t>
  </si>
  <si>
    <t>360020286746</t>
  </si>
  <si>
    <t>24041115043600006305029</t>
  </si>
  <si>
    <t>36010278124018103527</t>
  </si>
  <si>
    <t>龙连风</t>
  </si>
  <si>
    <t>360020292063</t>
  </si>
  <si>
    <t>24041114FQ3600006301017</t>
  </si>
  <si>
    <t>2024012980001258</t>
  </si>
  <si>
    <t>康婕</t>
  </si>
  <si>
    <t>360019492555</t>
  </si>
  <si>
    <t>24031917FQ3600006301001</t>
  </si>
  <si>
    <t>2023120480001205</t>
  </si>
  <si>
    <t>夏美珍</t>
  </si>
  <si>
    <t>360020264888</t>
  </si>
  <si>
    <t>24031917FQ3600006301002</t>
  </si>
  <si>
    <t>2024010499003133</t>
  </si>
  <si>
    <t>余爱华</t>
  </si>
  <si>
    <t>360021824791</t>
  </si>
  <si>
    <t>24031918FQ3600006301001</t>
  </si>
  <si>
    <t>2023123080001090</t>
  </si>
  <si>
    <t>刘小花</t>
  </si>
  <si>
    <t>360019492836</t>
  </si>
  <si>
    <t>24031918FQ3600006301002</t>
  </si>
  <si>
    <t>2024012199002673</t>
  </si>
  <si>
    <t>匡慧英</t>
  </si>
  <si>
    <t>360020297407</t>
  </si>
  <si>
    <t>24031918FQ3600006301003</t>
  </si>
  <si>
    <t>2024012399004794</t>
  </si>
  <si>
    <t>360020297455</t>
  </si>
  <si>
    <t>24031918FQ3600006301006</t>
  </si>
  <si>
    <t>2023123199002566</t>
  </si>
  <si>
    <t>周晓红</t>
  </si>
  <si>
    <t>360020297261</t>
  </si>
  <si>
    <t>24031919FQ3600006301001</t>
  </si>
  <si>
    <t>2024011299003800</t>
  </si>
  <si>
    <t>夏建军</t>
  </si>
  <si>
    <t>360020292218</t>
  </si>
  <si>
    <t>24031919FQ3600006301002</t>
  </si>
  <si>
    <t>2024012699002065</t>
  </si>
  <si>
    <t>姚刚</t>
  </si>
  <si>
    <t>360020297408</t>
  </si>
  <si>
    <t>24031919FQ3600006301003</t>
  </si>
  <si>
    <t>2024012499006155</t>
  </si>
  <si>
    <t>尹佳彬</t>
  </si>
  <si>
    <t>360020292231</t>
  </si>
  <si>
    <t>24031919FQ3600006301004</t>
  </si>
  <si>
    <t>2024010999007609</t>
  </si>
  <si>
    <t>康海燕</t>
  </si>
  <si>
    <t>360010125422</t>
  </si>
  <si>
    <t>24031919FQ3600006301005</t>
  </si>
  <si>
    <t>2024012399006756</t>
  </si>
  <si>
    <t>张丽</t>
  </si>
  <si>
    <t>360020292198</t>
  </si>
  <si>
    <t>24032009FQ3600006301001</t>
  </si>
  <si>
    <t>2024011780001419</t>
  </si>
  <si>
    <t>张婷</t>
  </si>
  <si>
    <t>360019492506</t>
  </si>
  <si>
    <t>24032009FQ3600006301002</t>
  </si>
  <si>
    <t>2024011099007497</t>
  </si>
  <si>
    <t>张平</t>
  </si>
  <si>
    <t>360020297346</t>
  </si>
  <si>
    <t>24032017FQ3600006301001</t>
  </si>
  <si>
    <t>2024011580002109</t>
  </si>
  <si>
    <t>张石明</t>
  </si>
  <si>
    <t>360019492969</t>
  </si>
  <si>
    <t>24032017FQ3600006301002</t>
  </si>
  <si>
    <t>2024010680001362</t>
  </si>
  <si>
    <t>彭竹云</t>
  </si>
  <si>
    <t>360019492757</t>
  </si>
  <si>
    <t>24032017FQ3600006301004</t>
  </si>
  <si>
    <t>2024011999003029</t>
  </si>
  <si>
    <t>戴枝武</t>
  </si>
  <si>
    <t>360020292304</t>
  </si>
  <si>
    <t>24032017FQ3600006301005</t>
  </si>
  <si>
    <t>2024012299006376</t>
  </si>
  <si>
    <t>曾新灿</t>
  </si>
  <si>
    <t>360020292219</t>
  </si>
  <si>
    <t>24032017FQ3600006301006</t>
  </si>
  <si>
    <t>2024013199002773</t>
  </si>
  <si>
    <t>朱会华</t>
  </si>
  <si>
    <t>360020292069</t>
  </si>
  <si>
    <t>24032017FQ3600006301007</t>
  </si>
  <si>
    <t>2023120180002193</t>
  </si>
  <si>
    <t>熊正明</t>
  </si>
  <si>
    <t>360020282631</t>
  </si>
  <si>
    <t>24032017FQ3600006301008</t>
  </si>
  <si>
    <t>2024011680001368</t>
  </si>
  <si>
    <t>王汝丹</t>
  </si>
  <si>
    <t>360019492510</t>
  </si>
  <si>
    <t>24032017FQ3600006301009</t>
  </si>
  <si>
    <t>2024010980003217</t>
  </si>
  <si>
    <t>王豪生</t>
  </si>
  <si>
    <t>360019492608</t>
  </si>
  <si>
    <t>24032017FQ3600006301010</t>
  </si>
  <si>
    <t>2024012999003337</t>
  </si>
  <si>
    <t>罗娟</t>
  </si>
  <si>
    <t>360020297499</t>
  </si>
  <si>
    <t>24032017FQ3600006301011</t>
  </si>
  <si>
    <t>2023122399004365</t>
  </si>
  <si>
    <t>肖丽</t>
  </si>
  <si>
    <t>360020292147</t>
  </si>
  <si>
    <t>24032017FQ3600006301012</t>
  </si>
  <si>
    <t>2024012799004124</t>
  </si>
  <si>
    <t>肖博文</t>
  </si>
  <si>
    <t>360020292233</t>
  </si>
  <si>
    <t>24032108FQ3600006301001</t>
  </si>
  <si>
    <t>2024010580002113</t>
  </si>
  <si>
    <t>肖建云</t>
  </si>
  <si>
    <t>360016784339</t>
  </si>
  <si>
    <t>24032108FQ3600006301002</t>
  </si>
  <si>
    <t>2024010580001217</t>
  </si>
  <si>
    <t>肖玉婷</t>
  </si>
  <si>
    <t>360019492619</t>
  </si>
  <si>
    <t>24032108FQ3600006301003</t>
  </si>
  <si>
    <t>2024012199004509</t>
  </si>
  <si>
    <t>肖芳琴</t>
  </si>
  <si>
    <t>360020292094</t>
  </si>
  <si>
    <t>24032108FQ3600006301004</t>
  </si>
  <si>
    <t>2024011899008123</t>
  </si>
  <si>
    <t>肖足妹</t>
  </si>
  <si>
    <t>360020292199</t>
  </si>
  <si>
    <t>24032108FQ3600006301005</t>
  </si>
  <si>
    <t>2024012199003972</t>
  </si>
  <si>
    <t>肖镇品</t>
  </si>
  <si>
    <t>360020297409</t>
  </si>
  <si>
    <t>24032108FQ3600006301006</t>
  </si>
  <si>
    <t>2024011480000987</t>
  </si>
  <si>
    <t>胡兰生</t>
  </si>
  <si>
    <t>360019492971</t>
  </si>
  <si>
    <t>24032108FQ3600006301007</t>
  </si>
  <si>
    <t>2023123080001490</t>
  </si>
  <si>
    <t>谢海峰</t>
  </si>
  <si>
    <t>360019492815</t>
  </si>
  <si>
    <t>24032108FQ3600006301008</t>
  </si>
  <si>
    <t>2024011280003505</t>
  </si>
  <si>
    <t>辜悦</t>
  </si>
  <si>
    <t>360019492959</t>
  </si>
  <si>
    <t>24032108FQ3600006301009</t>
  </si>
  <si>
    <t>2024012999003657</t>
  </si>
  <si>
    <t>邓庆</t>
  </si>
  <si>
    <t>360020297500</t>
  </si>
  <si>
    <t>24032108FQ3600006301010</t>
  </si>
  <si>
    <t>2024012599003171</t>
  </si>
  <si>
    <t>邓美娟</t>
  </si>
  <si>
    <t>360020297453</t>
  </si>
  <si>
    <t>24032108FQ3600006301011</t>
  </si>
  <si>
    <t>2023122299000222</t>
  </si>
  <si>
    <t>邓芳芳</t>
  </si>
  <si>
    <t>360020292334</t>
  </si>
  <si>
    <t>24032108FQ3600006301012</t>
  </si>
  <si>
    <t>2023123099000919</t>
  </si>
  <si>
    <t>陈怡君</t>
  </si>
  <si>
    <t>360020146943</t>
  </si>
  <si>
    <t>24032108FQ3600006301013</t>
  </si>
  <si>
    <t>2023122199003990</t>
  </si>
  <si>
    <t>陈燕玲</t>
  </si>
  <si>
    <t>360020304896</t>
  </si>
  <si>
    <t>24032108FQ3600006301014</t>
  </si>
  <si>
    <t>2024012099003189</t>
  </si>
  <si>
    <t>陈荣暖</t>
  </si>
  <si>
    <t>360020297120</t>
  </si>
  <si>
    <t>24032108FQ3600006301015</t>
  </si>
  <si>
    <t>2024011699008823</t>
  </si>
  <si>
    <t>雷永明</t>
  </si>
  <si>
    <t>360020264929</t>
  </si>
  <si>
    <t>24032108FQ3600006301016</t>
  </si>
  <si>
    <t>2024012299007326</t>
  </si>
  <si>
    <t>马亚英</t>
  </si>
  <si>
    <t>360020297491</t>
  </si>
  <si>
    <t>24032108FQ3600006301017</t>
  </si>
  <si>
    <t>2024012299002551</t>
  </si>
  <si>
    <t>马军</t>
  </si>
  <si>
    <t>360019492952</t>
  </si>
  <si>
    <t>24032108FQ3600006301018</t>
  </si>
  <si>
    <t>2024011780003591</t>
  </si>
  <si>
    <t>黄兵</t>
  </si>
  <si>
    <t>360020267892</t>
  </si>
  <si>
    <t>24032108FQ3600006301019</t>
  </si>
  <si>
    <t>2024012499008555</t>
  </si>
  <si>
    <t>龙望梅</t>
  </si>
  <si>
    <t>360020297410</t>
  </si>
  <si>
    <t>24032108FQ3600006301020</t>
  </si>
  <si>
    <t>2024011699002062</t>
  </si>
  <si>
    <t>龙玲</t>
  </si>
  <si>
    <t>360020292018</t>
  </si>
  <si>
    <t>24032110043600006305001</t>
  </si>
  <si>
    <t>3699950Q124028367853</t>
  </si>
  <si>
    <t>刘光华</t>
  </si>
  <si>
    <t>360019519596</t>
  </si>
  <si>
    <t>24032110043600006305002</t>
  </si>
  <si>
    <t>36010278124017449486</t>
  </si>
  <si>
    <t>刘小辉</t>
  </si>
  <si>
    <t>360020280134</t>
  </si>
  <si>
    <t>24032110043600006305003</t>
  </si>
  <si>
    <t>36010278124017912704</t>
  </si>
  <si>
    <t>刘龙威</t>
  </si>
  <si>
    <t>360020280475</t>
  </si>
  <si>
    <t>24032110043600006305004</t>
  </si>
  <si>
    <t>36010278123126435866</t>
  </si>
  <si>
    <t>徐祥</t>
  </si>
  <si>
    <t>吉安展翔建材有限公司</t>
  </si>
  <si>
    <t>360020292330</t>
  </si>
  <si>
    <t>24032111043600006305001</t>
  </si>
  <si>
    <t>36010278124016762198</t>
  </si>
  <si>
    <t>汤小妹</t>
  </si>
  <si>
    <t>吉安星钰诚技术咨询有限公司</t>
  </si>
  <si>
    <t>360020297049</t>
  </si>
  <si>
    <t>24032111043600006305002</t>
  </si>
  <si>
    <t>36010278123126369343</t>
  </si>
  <si>
    <t>周小庆</t>
  </si>
  <si>
    <t>360020282910</t>
  </si>
  <si>
    <t>24032111043600006305003</t>
  </si>
  <si>
    <t>36010278124017456088</t>
  </si>
  <si>
    <t>周峰</t>
  </si>
  <si>
    <t>360020363096</t>
  </si>
  <si>
    <t>24032111043600006305004</t>
  </si>
  <si>
    <t>36010278124017973672</t>
  </si>
  <si>
    <t>康锦华</t>
  </si>
  <si>
    <t>360020280265</t>
  </si>
  <si>
    <t>24032111043600006305005</t>
  </si>
  <si>
    <t>36010278123126355719</t>
  </si>
  <si>
    <t>廖文婷</t>
  </si>
  <si>
    <t>360020297392</t>
  </si>
  <si>
    <t>24032111043600006305006</t>
  </si>
  <si>
    <t>36010278124017782141</t>
  </si>
  <si>
    <t>徐晓琴</t>
  </si>
  <si>
    <t>360020280441</t>
  </si>
  <si>
    <t>24032111043600006305007</t>
  </si>
  <si>
    <t>36010278123125636218</t>
  </si>
  <si>
    <t>戴白鹿</t>
  </si>
  <si>
    <t>360020297293</t>
  </si>
  <si>
    <t>24032111043600006305008</t>
  </si>
  <si>
    <t>36010278124017615445</t>
  </si>
  <si>
    <t>杨强</t>
  </si>
  <si>
    <t>360020146522</t>
  </si>
  <si>
    <t>24032111043600006305009</t>
  </si>
  <si>
    <t>36010278123126328327</t>
  </si>
  <si>
    <t>段志文</t>
  </si>
  <si>
    <t>360022094784</t>
  </si>
  <si>
    <t>24032111043600006305010</t>
  </si>
  <si>
    <t>36010278124018036168</t>
  </si>
  <si>
    <t>聂灵灵</t>
  </si>
  <si>
    <t>360020146877</t>
  </si>
  <si>
    <t>24032111043600006305011</t>
  </si>
  <si>
    <t>36010278124017604408</t>
  </si>
  <si>
    <t>肖丽英</t>
  </si>
  <si>
    <t>360020146709</t>
  </si>
  <si>
    <t>24032111043600006305012</t>
  </si>
  <si>
    <t>36010278124016978814</t>
  </si>
  <si>
    <t>肖虹</t>
  </si>
  <si>
    <t>360020280216</t>
  </si>
  <si>
    <t>24032111043600006305013</t>
  </si>
  <si>
    <t>36010278124016724782</t>
  </si>
  <si>
    <t>胡运志</t>
  </si>
  <si>
    <t>360020297425</t>
  </si>
  <si>
    <t>24032111043600006305014</t>
  </si>
  <si>
    <t>3699950Q124028539345</t>
  </si>
  <si>
    <t>袁尚荣</t>
  </si>
  <si>
    <t>360019510945</t>
  </si>
  <si>
    <t>24032111043600006305015</t>
  </si>
  <si>
    <t>36010278124016837877</t>
  </si>
  <si>
    <t>谢子英</t>
  </si>
  <si>
    <t>360020297075</t>
  </si>
  <si>
    <t>24032111043600006305016</t>
  </si>
  <si>
    <t>36010278123126458574</t>
  </si>
  <si>
    <t>贾秋萍</t>
  </si>
  <si>
    <t>360020280267</t>
  </si>
  <si>
    <t>24032111043600006305017</t>
  </si>
  <si>
    <t>36010278123126481106</t>
  </si>
  <si>
    <t>邓尉红</t>
  </si>
  <si>
    <t>360020311424</t>
  </si>
  <si>
    <t>24032111043600006305018</t>
  </si>
  <si>
    <t>36010278123126488715</t>
  </si>
  <si>
    <t>邓祥云</t>
  </si>
  <si>
    <t>360020280478</t>
  </si>
  <si>
    <t>24032111043600006305019</t>
  </si>
  <si>
    <t>36010278124018063075</t>
  </si>
  <si>
    <t>邬小敏</t>
  </si>
  <si>
    <t>360020280418</t>
  </si>
  <si>
    <t>24032111043600006305020</t>
  </si>
  <si>
    <t>3699950Q124028289303</t>
  </si>
  <si>
    <t>郭文轩</t>
  </si>
  <si>
    <t>360019515697</t>
  </si>
  <si>
    <t>24032111043600006305021</t>
  </si>
  <si>
    <t>3699950Q124017785392</t>
  </si>
  <si>
    <t>陈亚江</t>
  </si>
  <si>
    <t>360020269701</t>
  </si>
  <si>
    <t>24032111043600006305022</t>
  </si>
  <si>
    <t>36010278124018009046</t>
  </si>
  <si>
    <t>陈美林</t>
  </si>
  <si>
    <t>360020280273</t>
  </si>
  <si>
    <t>24032111043600006305023</t>
  </si>
  <si>
    <t>36010278124017679249</t>
  </si>
  <si>
    <t>黄敏洁</t>
  </si>
  <si>
    <t>360020280089</t>
  </si>
  <si>
    <t>24032111043600006305024</t>
  </si>
  <si>
    <t>3699950Q124018124559</t>
  </si>
  <si>
    <t>张金玲</t>
  </si>
  <si>
    <t>360019519558</t>
  </si>
  <si>
    <t>24032111043600006305025</t>
  </si>
  <si>
    <t>3699950Q124017930733</t>
  </si>
  <si>
    <t>刘利军</t>
  </si>
  <si>
    <t>江西省安信造价咨询有限公司</t>
  </si>
  <si>
    <t>360020146638</t>
  </si>
  <si>
    <t>24032111043600006305026</t>
  </si>
  <si>
    <t>3699950Q124028275415</t>
  </si>
  <si>
    <t>肖文圣</t>
  </si>
  <si>
    <t>江西晟途建设劳务有限公司</t>
  </si>
  <si>
    <t>360018090930</t>
  </si>
  <si>
    <t>24032108FQ3600006301021</t>
  </si>
  <si>
    <t>2024012999007123</t>
  </si>
  <si>
    <t>余慎荣</t>
  </si>
  <si>
    <t>360020292239</t>
  </si>
  <si>
    <t>24032108FQ3600006301022</t>
  </si>
  <si>
    <t>2024020299003487</t>
  </si>
  <si>
    <t>刘兰</t>
  </si>
  <si>
    <t>360014097363</t>
  </si>
  <si>
    <t>24032108FQ3600006301023</t>
  </si>
  <si>
    <t>2024011699000536</t>
  </si>
  <si>
    <t>刘奕阳</t>
  </si>
  <si>
    <t>360020311019</t>
  </si>
  <si>
    <t>24032108FQ3600006301024</t>
  </si>
  <si>
    <t>2024020180002398</t>
  </si>
  <si>
    <t>周尔玲</t>
  </si>
  <si>
    <t>360019492599</t>
  </si>
  <si>
    <t>24032108FQ3600006301025</t>
  </si>
  <si>
    <t>2024020180002769</t>
  </si>
  <si>
    <t>周曦</t>
  </si>
  <si>
    <t>360019492585</t>
  </si>
  <si>
    <t>24032108FQ3600006301026</t>
  </si>
  <si>
    <t>2024020299002822</t>
  </si>
  <si>
    <t>孔辉</t>
  </si>
  <si>
    <t>360020659289</t>
  </si>
  <si>
    <t>24032108FQ3600006301027</t>
  </si>
  <si>
    <t>2024012799004180</t>
  </si>
  <si>
    <t>岩箐琦</t>
  </si>
  <si>
    <t>360020297452</t>
  </si>
  <si>
    <t>24032108FQ3600006301028</t>
  </si>
  <si>
    <t>2024020680001390</t>
  </si>
  <si>
    <t>彭正明</t>
  </si>
  <si>
    <t>360019492877</t>
  </si>
  <si>
    <t>24032108FQ3600006301029</t>
  </si>
  <si>
    <t>2024012899003225</t>
  </si>
  <si>
    <t>旷亚丽</t>
  </si>
  <si>
    <t>360020292033</t>
  </si>
  <si>
    <t>24032108FQ3600006301030</t>
  </si>
  <si>
    <t>2024020499003798</t>
  </si>
  <si>
    <t>曾宪英</t>
  </si>
  <si>
    <t>360020292351</t>
  </si>
  <si>
    <t>24032108FQ3600006301031</t>
  </si>
  <si>
    <t>2024020399002614</t>
  </si>
  <si>
    <t>李庆华</t>
  </si>
  <si>
    <t>360020292366</t>
  </si>
  <si>
    <t>24032108FQ3600006301032</t>
  </si>
  <si>
    <t>2024012899000412</t>
  </si>
  <si>
    <t>梁大志</t>
  </si>
  <si>
    <t>360020292407</t>
  </si>
  <si>
    <t>24032108FQ3600006301033</t>
  </si>
  <si>
    <t>2024021599000237</t>
  </si>
  <si>
    <t>汤玉宝</t>
  </si>
  <si>
    <t>360020292185</t>
  </si>
  <si>
    <t>24032108FQ3600006301034</t>
  </si>
  <si>
    <t>2024020480001557</t>
  </si>
  <si>
    <t>王丽娇</t>
  </si>
  <si>
    <t>360019492582</t>
  </si>
  <si>
    <t>24032108FQ3600006301035</t>
  </si>
  <si>
    <t>2024020299001027</t>
  </si>
  <si>
    <t>王倩</t>
  </si>
  <si>
    <t>360020292249</t>
  </si>
  <si>
    <t>24032108FQ3600006301036</t>
  </si>
  <si>
    <t>2024012699004101</t>
  </si>
  <si>
    <t>罗红莲</t>
  </si>
  <si>
    <t>360020292104</t>
  </si>
  <si>
    <t>24032108FQ3600006301037</t>
  </si>
  <si>
    <t>2024012599004724</t>
  </si>
  <si>
    <t>肖脚根</t>
  </si>
  <si>
    <t>360020292086</t>
  </si>
  <si>
    <t>24032108FQ3600006301038</t>
  </si>
  <si>
    <t>2024012980003207</t>
  </si>
  <si>
    <t>谢显定</t>
  </si>
  <si>
    <t>360019492620</t>
  </si>
  <si>
    <t>24032108FQ3600006301039</t>
  </si>
  <si>
    <t>2024013199004222</t>
  </si>
  <si>
    <t>金微</t>
  </si>
  <si>
    <t>360020292087</t>
  </si>
  <si>
    <t>24032108FQ3600006301040</t>
  </si>
  <si>
    <t>2024012580002027</t>
  </si>
  <si>
    <t>陈根龙</t>
  </si>
  <si>
    <t>360019492559</t>
  </si>
  <si>
    <t>24032108FQ3600006301041</t>
  </si>
  <si>
    <t>2024011999004003</t>
  </si>
  <si>
    <t>陈涛</t>
  </si>
  <si>
    <t>360020297314</t>
  </si>
  <si>
    <t>24032108FQ3600006301042</t>
  </si>
  <si>
    <t>2024022599000654</t>
  </si>
  <si>
    <t>陈磊</t>
  </si>
  <si>
    <t>360020292459</t>
  </si>
  <si>
    <t>24032108FQ3600006301043</t>
  </si>
  <si>
    <t>2024012899004111</t>
  </si>
  <si>
    <t>颜光银</t>
  </si>
  <si>
    <t>360017038121</t>
  </si>
  <si>
    <t>24032108FQ3600006301044</t>
  </si>
  <si>
    <t>2023122399001940</t>
  </si>
  <si>
    <t>饶军兵</t>
  </si>
  <si>
    <t>360020292386</t>
  </si>
  <si>
    <t>24032108FQ3600006301045</t>
  </si>
  <si>
    <t>2024012499003542</t>
  </si>
  <si>
    <t>魏修云</t>
  </si>
  <si>
    <t>360020292105</t>
  </si>
  <si>
    <t>24032108FQ3600006301046</t>
  </si>
  <si>
    <t>2024013199003234</t>
  </si>
  <si>
    <t>黄晓艳</t>
  </si>
  <si>
    <t>360020292278</t>
  </si>
  <si>
    <t>24032109FQ3600006301001</t>
  </si>
  <si>
    <t>2024020399002567</t>
  </si>
  <si>
    <t>龙慧</t>
  </si>
  <si>
    <t>360020292434</t>
  </si>
  <si>
    <t>24032715043600006305001</t>
  </si>
  <si>
    <t>36010304224033205907</t>
  </si>
  <si>
    <t>王小羊</t>
  </si>
  <si>
    <t>王小羊 朱燕燕</t>
  </si>
  <si>
    <t>赣（2024）吉安市不动产证明第0000993号</t>
  </si>
  <si>
    <t>24031514043600006304001</t>
  </si>
  <si>
    <t>36010330224032977042</t>
  </si>
  <si>
    <t>周萍华</t>
  </si>
  <si>
    <t>刘杰民 周萍华</t>
  </si>
  <si>
    <t>赣（2024）吉安市不动产证明第0000869号</t>
  </si>
  <si>
    <t>24031814043600006304001</t>
  </si>
  <si>
    <t>36010304224032982844</t>
  </si>
  <si>
    <t>易高伟</t>
  </si>
  <si>
    <t>易高伟 谭静</t>
  </si>
  <si>
    <t>赣（2024）吉安市不动产证明第0000876号</t>
  </si>
  <si>
    <t>24031914043600006304001</t>
  </si>
  <si>
    <t>3699950Q224033018186</t>
  </si>
  <si>
    <t>刘志刚</t>
  </si>
  <si>
    <t>刘志刚 孙水香</t>
  </si>
  <si>
    <t>赣（2024）吉安市不动产证明第000896号</t>
  </si>
  <si>
    <t>24031109043600006305001</t>
  </si>
  <si>
    <t>3699950Q224032745402</t>
  </si>
  <si>
    <t>周秋根</t>
  </si>
  <si>
    <t>赣（2024）吉安市不动产证明第0000742号</t>
  </si>
  <si>
    <t>24031116043600006305001</t>
  </si>
  <si>
    <t>36010278124039402854</t>
  </si>
  <si>
    <t>徐康</t>
  </si>
  <si>
    <t>赣（2024）吉安市不动产证明第0000772号</t>
  </si>
  <si>
    <t>24031316013600006301001</t>
  </si>
  <si>
    <t>0136000063240227353540</t>
  </si>
  <si>
    <t>吉安市美吉罗汽车配件有限公司</t>
  </si>
  <si>
    <t>赣（2024）吉安市不动产证明第0000807号</t>
  </si>
  <si>
    <t>24030414043600006305001</t>
  </si>
  <si>
    <t>3699950Q124029172330</t>
  </si>
  <si>
    <t>余红</t>
  </si>
  <si>
    <t>舒惠能 余红</t>
  </si>
  <si>
    <t>赣（2024）吉安市不动产证明第0000701号</t>
  </si>
  <si>
    <t>24030614043600006304001</t>
  </si>
  <si>
    <t>36010304224022575189</t>
  </si>
  <si>
    <t>张丹</t>
  </si>
  <si>
    <t>江西金兴进口汽车销售有限公司</t>
  </si>
  <si>
    <t>赣（2024）吉安市不动产证明第0000739号</t>
  </si>
  <si>
    <t>24022310043600006305001</t>
  </si>
  <si>
    <t>36010278123126166918</t>
  </si>
  <si>
    <t>曾桂香</t>
  </si>
  <si>
    <t>360020280377</t>
  </si>
  <si>
    <t>24022310043600006305002</t>
  </si>
  <si>
    <t>36010278123125480410</t>
  </si>
  <si>
    <t>邓冬冬</t>
  </si>
  <si>
    <t>360020297263</t>
  </si>
  <si>
    <t>24022310043600006305003</t>
  </si>
  <si>
    <t>36010278123125618825</t>
  </si>
  <si>
    <t>邓一</t>
  </si>
  <si>
    <t>360020280157</t>
  </si>
  <si>
    <t>24022310043600006305004</t>
  </si>
  <si>
    <t>36010278123125724880</t>
  </si>
  <si>
    <t>冯艳</t>
  </si>
  <si>
    <t>360020297025</t>
  </si>
  <si>
    <t>24022310043600006305005</t>
  </si>
  <si>
    <t>36010278123125603956</t>
  </si>
  <si>
    <t>符辉</t>
  </si>
  <si>
    <t>360020297252</t>
  </si>
  <si>
    <t>24022310043600006305006</t>
  </si>
  <si>
    <t>36010278123125621008</t>
  </si>
  <si>
    <t>古彩花</t>
  </si>
  <si>
    <t>360019393996</t>
  </si>
  <si>
    <t>24022310043600006305007</t>
  </si>
  <si>
    <t>36010278123126075580</t>
  </si>
  <si>
    <t>贺家华</t>
  </si>
  <si>
    <t>360020297142</t>
  </si>
  <si>
    <t>24022310043600006305008</t>
  </si>
  <si>
    <t>36010278123126219544</t>
  </si>
  <si>
    <t>侯宪龙</t>
  </si>
  <si>
    <t>360020297144</t>
  </si>
  <si>
    <t>24022310043600006305009</t>
  </si>
  <si>
    <t>36010278123115001160</t>
  </si>
  <si>
    <t>黄林</t>
  </si>
  <si>
    <t>360020280395</t>
  </si>
  <si>
    <t>24022310043600006305010</t>
  </si>
  <si>
    <t>36010278123125792767</t>
  </si>
  <si>
    <t>黄希</t>
  </si>
  <si>
    <t>360020282592</t>
  </si>
  <si>
    <t>24022310043600006305011</t>
  </si>
  <si>
    <t>36010278123125513262</t>
  </si>
  <si>
    <t>黄意林</t>
  </si>
  <si>
    <t>360020282635</t>
  </si>
  <si>
    <t>24022310043600006305012</t>
  </si>
  <si>
    <t>36010278123125740845</t>
  </si>
  <si>
    <t>肖春媛</t>
  </si>
  <si>
    <t>吉安县吉泰仿古建材有限公司</t>
  </si>
  <si>
    <t>360020297438</t>
  </si>
  <si>
    <t>24022310043600006305013</t>
  </si>
  <si>
    <t>36010278123125918183</t>
  </si>
  <si>
    <t>庄祥程</t>
  </si>
  <si>
    <t>江西省凯尔迪科技有限公司</t>
  </si>
  <si>
    <t>360020269884</t>
  </si>
  <si>
    <t>24022310043600006305014</t>
  </si>
  <si>
    <t>36010278123125301213</t>
  </si>
  <si>
    <t>阚常缤</t>
  </si>
  <si>
    <t>360019393985</t>
  </si>
  <si>
    <t>24022310043600006305015</t>
  </si>
  <si>
    <t>36010278123115089650</t>
  </si>
  <si>
    <t>李泳明</t>
  </si>
  <si>
    <t>360019393963</t>
  </si>
  <si>
    <t>24022310043600006305016</t>
  </si>
  <si>
    <t>36010278123125900324</t>
  </si>
  <si>
    <t>林芳</t>
  </si>
  <si>
    <t>360019473008</t>
  </si>
  <si>
    <t>24022310043600006305017</t>
  </si>
  <si>
    <t>36010278123125542112</t>
  </si>
  <si>
    <t>林晓成</t>
  </si>
  <si>
    <t>360020282587</t>
  </si>
  <si>
    <t>24022310043600006305018</t>
  </si>
  <si>
    <t>36010278123125977900</t>
  </si>
  <si>
    <t>刘兵根</t>
  </si>
  <si>
    <t>360020280372</t>
  </si>
  <si>
    <t>24022310043600006305020</t>
  </si>
  <si>
    <t>36010278123125951359</t>
  </si>
  <si>
    <t>刘剑锋</t>
  </si>
  <si>
    <t>360020282601</t>
  </si>
  <si>
    <t>24022310043600006305021</t>
  </si>
  <si>
    <t>36010278123115146018</t>
  </si>
  <si>
    <t>刘良恩</t>
  </si>
  <si>
    <t>360019393930</t>
  </si>
  <si>
    <t>24022310043600006305022</t>
  </si>
  <si>
    <t>36010278123126188932</t>
  </si>
  <si>
    <t>刘路路</t>
  </si>
  <si>
    <t>360019473420</t>
  </si>
  <si>
    <t>24022310043600006305023</t>
  </si>
  <si>
    <t>36010278123126067878</t>
  </si>
  <si>
    <t>刘卫成</t>
  </si>
  <si>
    <t>360020282637</t>
  </si>
  <si>
    <t>24022310043600006305024</t>
  </si>
  <si>
    <t>36010278123125827969</t>
  </si>
  <si>
    <t>刘洋</t>
  </si>
  <si>
    <t>360020297382</t>
  </si>
  <si>
    <t>24022310043600006305025</t>
  </si>
  <si>
    <t>36010278123125482376</t>
  </si>
  <si>
    <t>刘益兰</t>
  </si>
  <si>
    <t>360019393986</t>
  </si>
  <si>
    <t>24022310043600006305026</t>
  </si>
  <si>
    <t>36010278123125399010</t>
  </si>
  <si>
    <t>龙厚志</t>
  </si>
  <si>
    <t>360019393990</t>
  </si>
  <si>
    <t>24022310043600006305027</t>
  </si>
  <si>
    <t>36010278123125533274</t>
  </si>
  <si>
    <t>罗春华</t>
  </si>
  <si>
    <t>360020280364</t>
  </si>
  <si>
    <t>24022310043600006305028</t>
  </si>
  <si>
    <t>36010278123125302547</t>
  </si>
  <si>
    <t>莫玉珍</t>
  </si>
  <si>
    <t>360019393923</t>
  </si>
  <si>
    <t>24022310043600006305029</t>
  </si>
  <si>
    <t>36010278123125931066</t>
  </si>
  <si>
    <t>彭娟</t>
  </si>
  <si>
    <t>360020187248</t>
  </si>
  <si>
    <t>24022310043600006305031</t>
  </si>
  <si>
    <t>36010278123125327230</t>
  </si>
  <si>
    <t>秦金钟</t>
  </si>
  <si>
    <t>360020280310</t>
  </si>
  <si>
    <t>24022310043600006305032</t>
  </si>
  <si>
    <t>36010278123125619608</t>
  </si>
  <si>
    <t>谭德刚</t>
  </si>
  <si>
    <t>360019517990</t>
  </si>
  <si>
    <t>24022310043600006305033</t>
  </si>
  <si>
    <t>36010278123126365483</t>
  </si>
  <si>
    <t>涂俊杰</t>
  </si>
  <si>
    <t>360020305781</t>
  </si>
  <si>
    <t>24022310043600006305034</t>
  </si>
  <si>
    <t>36010278123125796025</t>
  </si>
  <si>
    <t>巫锡春</t>
  </si>
  <si>
    <t>360020280258</t>
  </si>
  <si>
    <t>24022310043600006305035</t>
  </si>
  <si>
    <t>36010278123125968802</t>
  </si>
  <si>
    <t>巫奕苹</t>
  </si>
  <si>
    <t>360020280469</t>
  </si>
  <si>
    <t>24022310043600006305036</t>
  </si>
  <si>
    <t>36010278123125374233</t>
  </si>
  <si>
    <t>吴刚宗</t>
  </si>
  <si>
    <t>360020282577</t>
  </si>
  <si>
    <t>24022310043600006305037</t>
  </si>
  <si>
    <t>36010278123125890483</t>
  </si>
  <si>
    <t>夏冬英</t>
  </si>
  <si>
    <t>360020280362</t>
  </si>
  <si>
    <t>24022310043600006305038</t>
  </si>
  <si>
    <t>36010278123125352106</t>
  </si>
  <si>
    <t>肖莉</t>
  </si>
  <si>
    <t>360020282575</t>
  </si>
  <si>
    <t>24022310043600006305039</t>
  </si>
  <si>
    <t>36010278123125696381</t>
  </si>
  <si>
    <t>肖雨晴</t>
  </si>
  <si>
    <t>360020280197</t>
  </si>
  <si>
    <t>24022310043600006305040</t>
  </si>
  <si>
    <t>36010278123125606679</t>
  </si>
  <si>
    <t>谢农建</t>
  </si>
  <si>
    <t>360019511006</t>
  </si>
  <si>
    <t>24022310043600006305041</t>
  </si>
  <si>
    <t>36010278123126117138</t>
  </si>
  <si>
    <t>鄢清亮</t>
  </si>
  <si>
    <t>360020281029</t>
  </si>
  <si>
    <t>24022310043600006305042</t>
  </si>
  <si>
    <t>36010278123125832284</t>
  </si>
  <si>
    <t>杨伟庆</t>
  </si>
  <si>
    <t>360020280374</t>
  </si>
  <si>
    <t>24022310043600006305043</t>
  </si>
  <si>
    <t>36010304124016905669</t>
  </si>
  <si>
    <t>喻昆</t>
  </si>
  <si>
    <t>360020264612</t>
  </si>
  <si>
    <t>24022310043600006305044</t>
  </si>
  <si>
    <t>36010278123125513019</t>
  </si>
  <si>
    <t>詹水娇</t>
  </si>
  <si>
    <t>360020282742</t>
  </si>
  <si>
    <t>24022310043600006305045</t>
  </si>
  <si>
    <t>36010278123125301956</t>
  </si>
  <si>
    <t>张剑红</t>
  </si>
  <si>
    <t>360019393750</t>
  </si>
  <si>
    <t>24022310043600006305046</t>
  </si>
  <si>
    <t>36010278123125834309</t>
  </si>
  <si>
    <t>赵春英</t>
  </si>
  <si>
    <t>360014019847</t>
  </si>
  <si>
    <t>24022310043600006305047</t>
  </si>
  <si>
    <t>36010278123125296636</t>
  </si>
  <si>
    <t>周梅英</t>
  </si>
  <si>
    <t>360019393746</t>
  </si>
  <si>
    <t>24022310043600006305048</t>
  </si>
  <si>
    <t>36010278123125658318</t>
  </si>
  <si>
    <t>周世坤</t>
  </si>
  <si>
    <t>360020282526</t>
  </si>
  <si>
    <t>24022310043600006305049</t>
  </si>
  <si>
    <t>36010278123125914672</t>
  </si>
  <si>
    <t>周兆成</t>
  </si>
  <si>
    <t>360020280024</t>
  </si>
  <si>
    <t>24022310043600006305050</t>
  </si>
  <si>
    <t>36010278123125602753</t>
  </si>
  <si>
    <t>朱诗洲</t>
  </si>
  <si>
    <t>360020282720</t>
  </si>
  <si>
    <t>24022310FQ3600006301001</t>
  </si>
  <si>
    <t>2023120380001052</t>
  </si>
  <si>
    <t>陈鹏</t>
  </si>
  <si>
    <t>360020297465</t>
  </si>
  <si>
    <t>24022310FQ3600006301002</t>
  </si>
  <si>
    <t>2023123199002763</t>
  </si>
  <si>
    <t>李贤文</t>
  </si>
  <si>
    <t>360020297217</t>
  </si>
  <si>
    <t>24022310FQ3600006301003</t>
  </si>
  <si>
    <t>2023120680001864</t>
  </si>
  <si>
    <t>刘江生</t>
  </si>
  <si>
    <t>360020297213</t>
  </si>
  <si>
    <t>24022310FQ3600006301004</t>
  </si>
  <si>
    <t>2024010799002409</t>
  </si>
  <si>
    <t>刘红安</t>
  </si>
  <si>
    <t>360020297247</t>
  </si>
  <si>
    <t>24022311043600006305001</t>
  </si>
  <si>
    <t>36010278123126488462</t>
  </si>
  <si>
    <t>邓永彪</t>
  </si>
  <si>
    <t>360020297111</t>
  </si>
  <si>
    <t>24022311043600006305002</t>
  </si>
  <si>
    <t>36010278124017892787</t>
  </si>
  <si>
    <t>郭喜发</t>
  </si>
  <si>
    <t>360020280057</t>
  </si>
  <si>
    <t>24022311043600006305003</t>
  </si>
  <si>
    <t>36010278124017066187</t>
  </si>
  <si>
    <t>郭远康</t>
  </si>
  <si>
    <t>360020297483</t>
  </si>
  <si>
    <t>24022311043600006305004</t>
  </si>
  <si>
    <t>36010278123126172771</t>
  </si>
  <si>
    <t>胡小珍</t>
  </si>
  <si>
    <t>360020297372</t>
  </si>
  <si>
    <t>24022311043600006305005</t>
  </si>
  <si>
    <t>36010278123126235976</t>
  </si>
  <si>
    <t>胡新钰</t>
  </si>
  <si>
    <t>360020280152</t>
  </si>
  <si>
    <t>24022311043600006305006</t>
  </si>
  <si>
    <t>36010278124016903060</t>
  </si>
  <si>
    <t>黄苑亦</t>
  </si>
  <si>
    <t>360020264847</t>
  </si>
  <si>
    <t>24022311043600006305007</t>
  </si>
  <si>
    <t>36010278124017273483</t>
  </si>
  <si>
    <t>衷丛波</t>
  </si>
  <si>
    <t>吉安樊荣建材有限公司</t>
  </si>
  <si>
    <t>360020297367</t>
  </si>
  <si>
    <t>24022311043600006305008</t>
  </si>
  <si>
    <t>36010278124016780624</t>
  </si>
  <si>
    <t>庄礼祥</t>
  </si>
  <si>
    <t>江西澳曼娜服饰有限公司</t>
  </si>
  <si>
    <t>360020297047</t>
  </si>
  <si>
    <t>24022311043600006305009</t>
  </si>
  <si>
    <t>36010304123126265971</t>
  </si>
  <si>
    <t>龙奇</t>
  </si>
  <si>
    <t>江西劲龙新材料科技有限公司</t>
  </si>
  <si>
    <t>360020264638</t>
  </si>
  <si>
    <t>24022311043600006305010</t>
  </si>
  <si>
    <t>36010278124017728076</t>
  </si>
  <si>
    <t>匡琦</t>
  </si>
  <si>
    <t>360020297069</t>
  </si>
  <si>
    <t>24022311043600006305011</t>
  </si>
  <si>
    <t>3699950Q123125636163</t>
  </si>
  <si>
    <t>匡唐暖</t>
  </si>
  <si>
    <t>360020269886</t>
  </si>
  <si>
    <t>24022311043600006305012</t>
  </si>
  <si>
    <t>36010278124017103100</t>
  </si>
  <si>
    <t>李运来</t>
  </si>
  <si>
    <t>360020280209</t>
  </si>
  <si>
    <t>24022311043600006305013</t>
  </si>
  <si>
    <t>3699950Q124018034628</t>
  </si>
  <si>
    <t>刘娟</t>
  </si>
  <si>
    <t>360019519635</t>
  </si>
  <si>
    <t>24022311043600006305014</t>
  </si>
  <si>
    <t>3699950Q124016594887</t>
  </si>
  <si>
    <t>罗富华</t>
  </si>
  <si>
    <t>360019508127</t>
  </si>
  <si>
    <t>24022311043600006305015</t>
  </si>
  <si>
    <t>36010278124017340936</t>
  </si>
  <si>
    <t>彭吝苟</t>
  </si>
  <si>
    <t>360018883377</t>
  </si>
  <si>
    <t>24022311043600006305016</t>
  </si>
  <si>
    <t>36010278124017828844</t>
  </si>
  <si>
    <t>邵海业</t>
  </si>
  <si>
    <t>360020280447</t>
  </si>
  <si>
    <t>24022311043600006305017</t>
  </si>
  <si>
    <t>36010278124016661092</t>
  </si>
  <si>
    <t>苏小梅</t>
  </si>
  <si>
    <t>360020282894</t>
  </si>
  <si>
    <t>24022311043600006305018</t>
  </si>
  <si>
    <t>3699950Q123126451177</t>
  </si>
  <si>
    <t>王晶</t>
  </si>
  <si>
    <t>360019508038</t>
  </si>
  <si>
    <t>24022311043600006305019</t>
  </si>
  <si>
    <t>3699950Q123126182400</t>
  </si>
  <si>
    <t>文小春</t>
  </si>
  <si>
    <t>360017445076</t>
  </si>
  <si>
    <t>24022311043600006305020</t>
  </si>
  <si>
    <t>36010278123126339381</t>
  </si>
  <si>
    <t>肖金伟</t>
  </si>
  <si>
    <t>360020297279</t>
  </si>
  <si>
    <t>24022311043600006305021</t>
  </si>
  <si>
    <t>36010278124018122659</t>
  </si>
  <si>
    <t>叶意莲</t>
  </si>
  <si>
    <t>360020187298</t>
  </si>
  <si>
    <t>24022311043600006305022</t>
  </si>
  <si>
    <t>36010278124016602918</t>
  </si>
  <si>
    <t>钟财哆</t>
  </si>
  <si>
    <t>360020281038</t>
  </si>
  <si>
    <t>24022311043600006305023</t>
  </si>
  <si>
    <t>36010278123126220312</t>
  </si>
  <si>
    <t>周臻晖</t>
  </si>
  <si>
    <t>360020280235</t>
  </si>
  <si>
    <t>24022311043600006305024</t>
  </si>
  <si>
    <t>36010278124016802629</t>
  </si>
  <si>
    <t>邹琴</t>
  </si>
  <si>
    <t>360020280293</t>
  </si>
  <si>
    <t>24022311FQ3600006301001</t>
  </si>
  <si>
    <t>2023122499004900</t>
  </si>
  <si>
    <t>蔡琪</t>
  </si>
  <si>
    <t>360020297017</t>
  </si>
  <si>
    <t>24022311FQ3600006301002</t>
  </si>
  <si>
    <t>2023122299001066</t>
  </si>
  <si>
    <t>曹萍</t>
  </si>
  <si>
    <t>360020297368</t>
  </si>
  <si>
    <t>24022311FQ3600006301003</t>
  </si>
  <si>
    <t>2024010299002854</t>
  </si>
  <si>
    <t>曾熠</t>
  </si>
  <si>
    <t>360020297156</t>
  </si>
  <si>
    <t>24022311FQ3600006301004</t>
  </si>
  <si>
    <t>2024010799003579</t>
  </si>
  <si>
    <t>陈霞</t>
  </si>
  <si>
    <t>360020297199</t>
  </si>
  <si>
    <t>24022311FQ3600006301005</t>
  </si>
  <si>
    <t>2023120999004503</t>
  </si>
  <si>
    <t>刁惠韵</t>
  </si>
  <si>
    <t>360020264983</t>
  </si>
  <si>
    <t>24022311FQ3600006301006</t>
  </si>
  <si>
    <t>2023112880002928</t>
  </si>
  <si>
    <t>胡仁杰</t>
  </si>
  <si>
    <t>360020297055</t>
  </si>
  <si>
    <t>24022311FQ3600006301007</t>
  </si>
  <si>
    <t>2023121799002590</t>
  </si>
  <si>
    <t>李文春</t>
  </si>
  <si>
    <t>360020297276</t>
  </si>
  <si>
    <t>24022311FQ3600006301008</t>
  </si>
  <si>
    <t>2023123199003438</t>
  </si>
  <si>
    <t>李志兰</t>
  </si>
  <si>
    <t>360020297088</t>
  </si>
  <si>
    <t>24022311FQ3600006301009</t>
  </si>
  <si>
    <t>2023120380000910</t>
  </si>
  <si>
    <t>廖强强</t>
  </si>
  <si>
    <t>360020297417</t>
  </si>
  <si>
    <t>24022311FQ3600006301010</t>
  </si>
  <si>
    <t>2023120380000808</t>
  </si>
  <si>
    <t>刘萍</t>
  </si>
  <si>
    <t>360020297005</t>
  </si>
  <si>
    <t>24022311FQ3600006301011</t>
  </si>
  <si>
    <t>2023111380001543</t>
  </si>
  <si>
    <t>刘头英</t>
  </si>
  <si>
    <t>360020297353</t>
  </si>
  <si>
    <t>24022311FQ3600006301012</t>
  </si>
  <si>
    <t>2023121099003438</t>
  </si>
  <si>
    <t>龙付林</t>
  </si>
  <si>
    <t>360020297029</t>
  </si>
  <si>
    <t>24022311FQ3600006301013</t>
  </si>
  <si>
    <t>2023121999008010</t>
  </si>
  <si>
    <t>吕雯芳</t>
  </si>
  <si>
    <t>360020297043</t>
  </si>
  <si>
    <t>24022311FQ3600006301014</t>
  </si>
  <si>
    <t>2024011699005756</t>
  </si>
  <si>
    <t>彭浩林</t>
  </si>
  <si>
    <t>360020297308</t>
  </si>
  <si>
    <t>24022311FQ3600006301015</t>
  </si>
  <si>
    <t>2023122899004146</t>
  </si>
  <si>
    <t>彭政</t>
  </si>
  <si>
    <t>360020297089</t>
  </si>
  <si>
    <t>24022311FQ3600006301016</t>
  </si>
  <si>
    <t>2024011599002279</t>
  </si>
  <si>
    <t>唐梦韬</t>
  </si>
  <si>
    <t>360020297200</t>
  </si>
  <si>
    <t>24022311FQ3600006301017</t>
  </si>
  <si>
    <t>2023112880000967</t>
  </si>
  <si>
    <t>王丹丹</t>
  </si>
  <si>
    <t>360020297048</t>
  </si>
  <si>
    <t>24022311FQ3600006301018</t>
  </si>
  <si>
    <t>2023120380000489</t>
  </si>
  <si>
    <t>王惠强</t>
  </si>
  <si>
    <t>360020297281</t>
  </si>
  <si>
    <t>24022311FQ3600006301019</t>
  </si>
  <si>
    <t>2024010799003133</t>
  </si>
  <si>
    <t>王健才</t>
  </si>
  <si>
    <t>360020297119</t>
  </si>
  <si>
    <t>24022311FQ3600006301020</t>
  </si>
  <si>
    <t>2023122399003573</t>
  </si>
  <si>
    <t>魏美保</t>
  </si>
  <si>
    <t>360020297031</t>
  </si>
  <si>
    <t>24022311FQ3600006301021</t>
  </si>
  <si>
    <t>2023111980001332</t>
  </si>
  <si>
    <t>肖薇</t>
  </si>
  <si>
    <t>360020297284</t>
  </si>
  <si>
    <t>24022311FQ3600006301022</t>
  </si>
  <si>
    <t>2023111380001717</t>
  </si>
  <si>
    <t>肖小芹</t>
  </si>
  <si>
    <t>360020282934</t>
  </si>
  <si>
    <t>24022311FQ3600006301023</t>
  </si>
  <si>
    <t>2023112980000982</t>
  </si>
  <si>
    <t>杨光</t>
  </si>
  <si>
    <t>360020310276</t>
  </si>
  <si>
    <t>24022311FQ3600006301024</t>
  </si>
  <si>
    <t>2023121799001374</t>
  </si>
  <si>
    <t>袁智超</t>
  </si>
  <si>
    <t>360020297250</t>
  </si>
  <si>
    <t>24022311FQ3600006301025</t>
  </si>
  <si>
    <t>2024011799009311</t>
  </si>
  <si>
    <t>张丽娟</t>
  </si>
  <si>
    <t>360021824762</t>
  </si>
  <si>
    <t>24022311FQ3600006301026</t>
  </si>
  <si>
    <t>2024011199002377</t>
  </si>
  <si>
    <t>周珍</t>
  </si>
  <si>
    <t>360020297436</t>
  </si>
  <si>
    <t>24022311FQ3600006301028</t>
  </si>
  <si>
    <t>2023122799007686</t>
  </si>
  <si>
    <t>朱婷</t>
  </si>
  <si>
    <t>360020297151</t>
  </si>
  <si>
    <t>24022814043600006305001</t>
  </si>
  <si>
    <t>36010304224022586898</t>
  </si>
  <si>
    <t>黄英</t>
  </si>
  <si>
    <t>龙世恩 黄英</t>
  </si>
  <si>
    <t>赣（2024）吉安市不动产证明第0000660号</t>
  </si>
  <si>
    <t>24022817043600006305001</t>
  </si>
  <si>
    <t>36010278124028818293</t>
  </si>
  <si>
    <t>陈从华</t>
  </si>
  <si>
    <t>陈从华 王月慧</t>
  </si>
  <si>
    <t>赣（2024）吉安市不动产证明第0000622号</t>
  </si>
  <si>
    <t>24022810043600006304002</t>
  </si>
  <si>
    <t>36010330224022549682</t>
  </si>
  <si>
    <t>吴寿满</t>
  </si>
  <si>
    <t>吴寿满 黄玉珍</t>
  </si>
  <si>
    <t>赣（2024）吉安市不动产证明第0000647号</t>
  </si>
  <si>
    <t>24022814043600006304001</t>
  </si>
  <si>
    <t>36010330224022552069</t>
  </si>
  <si>
    <t>徐昊</t>
  </si>
  <si>
    <t>赣（2024）吉安市不动产证明第0000662号</t>
  </si>
  <si>
    <t>24022716013600006301001</t>
  </si>
  <si>
    <t>0136000063240220351690</t>
  </si>
  <si>
    <t>吉安市锦湖大酒店有限公司</t>
  </si>
  <si>
    <t>江西冠马工业科技有限公司</t>
  </si>
  <si>
    <t>赣（2024）吉安市不动产证明第0000655号</t>
  </si>
  <si>
    <t>24022616043600006305003</t>
  </si>
  <si>
    <t>3699950Q224022511300</t>
  </si>
  <si>
    <t>李香春</t>
  </si>
  <si>
    <t>肖文坤</t>
  </si>
  <si>
    <t>赣（2024）吉安县不动产证明第0000468号</t>
  </si>
  <si>
    <t>24022715043600006305001</t>
  </si>
  <si>
    <t>3699950Q116093900967</t>
  </si>
  <si>
    <t>陈杰</t>
  </si>
  <si>
    <t>赣（2024）吉安市不动产证明第0000588号</t>
  </si>
  <si>
    <t>24022715043600006305002</t>
  </si>
  <si>
    <t>36010316115121436243</t>
  </si>
  <si>
    <t>胡细莲</t>
  </si>
  <si>
    <t>赣（2024）吉安市不动产证明第0000157号</t>
  </si>
  <si>
    <t>24022715043600006305003</t>
  </si>
  <si>
    <t>36010316114097131900</t>
  </si>
  <si>
    <t>黄辉斌</t>
  </si>
  <si>
    <t>李瑜鹃 黄辉斌</t>
  </si>
  <si>
    <t>赣（2024）吉安市不动产证明第0000162号</t>
  </si>
  <si>
    <t>24022715043600006305004</t>
  </si>
  <si>
    <t>36010316115090773781</t>
  </si>
  <si>
    <t>曾静</t>
  </si>
  <si>
    <t>刘茂林 曾静</t>
  </si>
  <si>
    <t>赣（2024）吉安市不动产证明第0000586号</t>
  </si>
  <si>
    <t>24022715043600006305005</t>
  </si>
  <si>
    <t>3699950Q116114568799</t>
  </si>
  <si>
    <t>刘小明</t>
  </si>
  <si>
    <t>罗招兰 刘小明</t>
  </si>
  <si>
    <t>赣（2024）吉安市不动产证明第0000589号</t>
  </si>
  <si>
    <t>24022715043600006305006</t>
  </si>
  <si>
    <t>36010316115070217037</t>
  </si>
  <si>
    <t>彭佳瑞</t>
  </si>
  <si>
    <t>彭佳瑞 孔英</t>
  </si>
  <si>
    <t>赣（2024）吉安市不动产证明第0000159号</t>
  </si>
  <si>
    <t>24022715043600006305007</t>
  </si>
  <si>
    <t>36010316114076816971</t>
  </si>
  <si>
    <t>彭庆恒</t>
  </si>
  <si>
    <t>彭庆恒 周群华</t>
  </si>
  <si>
    <t>赣（2024）吉安市不动产证明第0000158号</t>
  </si>
  <si>
    <t>24020114013600006301001</t>
  </si>
  <si>
    <t>0136000063231215324301</t>
  </si>
  <si>
    <t>吉安市博程建设工程有限公司</t>
  </si>
  <si>
    <t>潘春华 唐六俚</t>
  </si>
  <si>
    <t>赣（2024）吉安市不动产证明第0000489号</t>
  </si>
  <si>
    <t>24020515043600006305001</t>
  </si>
  <si>
    <t>36010330124018257636</t>
  </si>
  <si>
    <t>肖乔</t>
  </si>
  <si>
    <t>肖乔 肖香爱</t>
  </si>
  <si>
    <t>赣（2024）吉安市不动产证明第0000521号</t>
  </si>
  <si>
    <t>24020717043600006305001</t>
  </si>
  <si>
    <t>36010330124028487123</t>
  </si>
  <si>
    <t>罗雪芹</t>
  </si>
  <si>
    <t>赣（2024）吉安市不动产证明第0000561号</t>
  </si>
  <si>
    <t>24020717043600006305002</t>
  </si>
  <si>
    <t>36010330124028465797</t>
  </si>
  <si>
    <t>周娜</t>
  </si>
  <si>
    <t>肖建海 周娜</t>
  </si>
  <si>
    <t>赣（2024）吉安市不动产证明第0000548号</t>
  </si>
  <si>
    <t>24020717043600006305003</t>
  </si>
  <si>
    <t>3699950Q124028274807</t>
  </si>
  <si>
    <t>张杰</t>
  </si>
  <si>
    <t>赣（2024）吉安市不动产证明第0000507号</t>
  </si>
  <si>
    <t>24020114043600006304001</t>
  </si>
  <si>
    <t>3699950Q224012146749</t>
  </si>
  <si>
    <t>符丽</t>
  </si>
  <si>
    <t>赣（2024）吉安市不动产证明第0000492号</t>
  </si>
  <si>
    <t>24020214043600006304001</t>
  </si>
  <si>
    <t>36010304224012166234</t>
  </si>
  <si>
    <t>王建设</t>
  </si>
  <si>
    <t>王建设 黄丽红</t>
  </si>
  <si>
    <t>赣（2024）井开区不动产证明第0000147号</t>
  </si>
  <si>
    <t>24020414043600006304001</t>
  </si>
  <si>
    <t>3699950Q224011971463</t>
  </si>
  <si>
    <t>甘爱全</t>
  </si>
  <si>
    <t>赣（2024）吉安市不动产证明第0000518号</t>
  </si>
  <si>
    <t>24020214043600006305001</t>
  </si>
  <si>
    <t>36010304118050940849</t>
  </si>
  <si>
    <t>匡涛明</t>
  </si>
  <si>
    <t>赣（2020）吉安市不动产证明第0033543号</t>
  </si>
  <si>
    <t>借款人   名称</t>
  </si>
  <si>
    <t>24013110013600006301002</t>
  </si>
  <si>
    <t>0136000063240129345491</t>
  </si>
  <si>
    <t>江西瑞宝装饰工程有限公司</t>
  </si>
  <si>
    <t>江西富强房地产开发有限公司</t>
  </si>
  <si>
    <t>赣（2024）吉安市不动产证明第0000482号</t>
  </si>
  <si>
    <t>移交日期 ：2024年1月30日               编号:01</t>
  </si>
  <si>
    <t>24012515043600006305001</t>
  </si>
  <si>
    <t>36010330124017523092</t>
  </si>
  <si>
    <t>刘腾芳</t>
  </si>
  <si>
    <t>刘腾芳 王水兰</t>
  </si>
  <si>
    <t>赣（2024）吉安市不动产证明第0000313号</t>
  </si>
  <si>
    <t>24013014013600006301001</t>
  </si>
  <si>
    <t>0136000063240130346457</t>
  </si>
  <si>
    <t>吉安市金赣兴物业服务有限公司</t>
  </si>
  <si>
    <t>吉安华通物流中心有限公司</t>
  </si>
  <si>
    <t>赣（2024）吉安市不动产证明第0000472号</t>
  </si>
  <si>
    <t>24012316043600006304001</t>
  </si>
  <si>
    <t>36010304224011341999</t>
  </si>
  <si>
    <t>龚冲冲</t>
  </si>
  <si>
    <t>江西赣鸿航运有限公司</t>
  </si>
  <si>
    <t>DY3502240002</t>
  </si>
  <si>
    <t>抵质押品移交人员意</t>
  </si>
  <si>
    <t>作业监督岗：                                                               日期： 2024 年 1月  日</t>
  </si>
  <si>
    <t>客户经理：                                                                 日期： 2024 年 1月   日</t>
  </si>
  <si>
    <t>现金运营人员：                                                             日期： 2024年  1月   日</t>
  </si>
  <si>
    <t>移交日期 ：2024年1月29日               编号:01</t>
  </si>
  <si>
    <t>24011614FQ3600006301001</t>
  </si>
  <si>
    <t>2023120180001480</t>
  </si>
  <si>
    <t>何永平</t>
  </si>
  <si>
    <t>赣D0256F</t>
  </si>
  <si>
    <t>24011614043600006305001</t>
  </si>
  <si>
    <t>36010278123092590434</t>
  </si>
  <si>
    <t>黄谨辉</t>
  </si>
  <si>
    <t>个人汽车消费贷款</t>
  </si>
  <si>
    <t>赣D70W55</t>
  </si>
  <si>
    <t>24011614043600006305002</t>
  </si>
  <si>
    <t>36010278123125356416</t>
  </si>
  <si>
    <t>邓松龙</t>
  </si>
  <si>
    <t>赣D562D1</t>
  </si>
  <si>
    <t>24011614043600006305003</t>
  </si>
  <si>
    <t>36010304123126166815</t>
  </si>
  <si>
    <t>黄珲</t>
  </si>
  <si>
    <t>吉安升晖建材销售有限公司</t>
  </si>
  <si>
    <t>赣DLX738</t>
  </si>
  <si>
    <t>24011614043600006305004</t>
  </si>
  <si>
    <t>36010278123126044156</t>
  </si>
  <si>
    <t>刘智文</t>
  </si>
  <si>
    <t>吉安市金智包装制品有限公司</t>
  </si>
  <si>
    <t>赣DHE903</t>
  </si>
  <si>
    <t>24011614043600006305005</t>
  </si>
  <si>
    <t>36010278123125254541</t>
  </si>
  <si>
    <t>王艳江</t>
  </si>
  <si>
    <t>吉安智彩包装制品有限公司</t>
  </si>
  <si>
    <t>赣D6316V</t>
  </si>
  <si>
    <t>24011614043600006305006</t>
  </si>
  <si>
    <t>36010278123125347401</t>
  </si>
  <si>
    <t>李美霞</t>
  </si>
  <si>
    <t>赣DJQ587</t>
  </si>
  <si>
    <t>24011614043600006305007</t>
  </si>
  <si>
    <t>36010278123125748294</t>
  </si>
  <si>
    <t>林新新</t>
  </si>
  <si>
    <t>赣DLF950</t>
  </si>
  <si>
    <t>24011614043600006305008</t>
  </si>
  <si>
    <t>36010278123125216294</t>
  </si>
  <si>
    <t>王洪平</t>
  </si>
  <si>
    <t>赣DMR735</t>
  </si>
  <si>
    <t>24011614043600006305009</t>
  </si>
  <si>
    <t>36010278123126174859</t>
  </si>
  <si>
    <t>许连娇</t>
  </si>
  <si>
    <t>赣DPY586</t>
  </si>
  <si>
    <t>24011614043600006305010</t>
  </si>
  <si>
    <t>36010278123125387444</t>
  </si>
  <si>
    <t>张珍</t>
  </si>
  <si>
    <t>赣D63955</t>
  </si>
  <si>
    <t>24011614043600006305011</t>
  </si>
  <si>
    <t>36010278123125551218</t>
  </si>
  <si>
    <t>周丽军</t>
  </si>
  <si>
    <t>赣DZ8632</t>
  </si>
  <si>
    <t>24011614043600006305012</t>
  </si>
  <si>
    <t>36010278123125600754</t>
  </si>
  <si>
    <t>周长青</t>
  </si>
  <si>
    <t>赣DG2616</t>
  </si>
  <si>
    <t>24011614043600006305013</t>
  </si>
  <si>
    <t>36010278123125840417</t>
  </si>
  <si>
    <t>左伟</t>
  </si>
  <si>
    <t>赣D601D5</t>
  </si>
  <si>
    <t>24011614FQ3600006301004</t>
  </si>
  <si>
    <t>2023121999001722</t>
  </si>
  <si>
    <t>曾华婷</t>
  </si>
  <si>
    <t>赣D1575A</t>
  </si>
  <si>
    <t>24011614FQ3600006301005</t>
  </si>
  <si>
    <t>2023120999004599</t>
  </si>
  <si>
    <t>曾怡悦</t>
  </si>
  <si>
    <t>赣D8706U</t>
  </si>
  <si>
    <t>24011614FQ3600006301006</t>
  </si>
  <si>
    <t>2023122399003417</t>
  </si>
  <si>
    <t>陈舒萍</t>
  </si>
  <si>
    <t>赣D97H37</t>
  </si>
  <si>
    <t>24011614FQ3600006301007</t>
  </si>
  <si>
    <t>2023122399002099</t>
  </si>
  <si>
    <t>邓丽翠</t>
  </si>
  <si>
    <t>赣DJJ103</t>
  </si>
  <si>
    <t>24011614FQ3600006301008</t>
  </si>
  <si>
    <t>2023121299001749</t>
  </si>
  <si>
    <t>顾莺</t>
  </si>
  <si>
    <t>赣D05239</t>
  </si>
  <si>
    <t>24011614FQ3600006301009</t>
  </si>
  <si>
    <t>2023122999006643</t>
  </si>
  <si>
    <t>李菊烨</t>
  </si>
  <si>
    <t>赣DSY808</t>
  </si>
  <si>
    <t>24011614FQ3600006301010</t>
  </si>
  <si>
    <t>2023122899007905</t>
  </si>
  <si>
    <t>李婷</t>
  </si>
  <si>
    <t>赣D2515Q</t>
  </si>
  <si>
    <t>24011614FQ3600006301011</t>
  </si>
  <si>
    <t>2023112880001015</t>
  </si>
  <si>
    <t>李兴兴</t>
  </si>
  <si>
    <t>赣DMW010</t>
  </si>
  <si>
    <t>24011614FQ3600006301012</t>
  </si>
  <si>
    <t>2023122799007286</t>
  </si>
  <si>
    <t>梁妹</t>
  </si>
  <si>
    <t>赣DLW925</t>
  </si>
  <si>
    <t>24011614FQ3600006301013</t>
  </si>
  <si>
    <t>2023122999000295</t>
  </si>
  <si>
    <t>刘传明</t>
  </si>
  <si>
    <t>赣DD99555</t>
  </si>
  <si>
    <t>24011614FQ3600006301014</t>
  </si>
  <si>
    <t>2023122399004373</t>
  </si>
  <si>
    <t>刘欢</t>
  </si>
  <si>
    <t>赣DD58812</t>
  </si>
  <si>
    <t>24011614FQ3600006301015</t>
  </si>
  <si>
    <t>2023122899006061</t>
  </si>
  <si>
    <t>刘晶峰</t>
  </si>
  <si>
    <t>赣DD69868</t>
  </si>
  <si>
    <t>24011614FQ3600006301016</t>
  </si>
  <si>
    <t>2023121099004938</t>
  </si>
  <si>
    <t>刘丽蓉</t>
  </si>
  <si>
    <t>赣DR8895</t>
  </si>
  <si>
    <t>24011614FQ3600006301017</t>
  </si>
  <si>
    <t>2023121699002760</t>
  </si>
  <si>
    <t>刘铭轲</t>
  </si>
  <si>
    <t>赣DOE968</t>
  </si>
  <si>
    <t>24011614FQ3600006301018</t>
  </si>
  <si>
    <t>2023121399008172</t>
  </si>
  <si>
    <t>刘艳芳</t>
  </si>
  <si>
    <t>赣JD02T07</t>
  </si>
  <si>
    <t>24011614FQ3600006301019</t>
  </si>
  <si>
    <t>2023112680001435</t>
  </si>
  <si>
    <t>刘忠华</t>
  </si>
  <si>
    <t>赣D6H803</t>
  </si>
  <si>
    <t>24011614FQ3600006301020</t>
  </si>
  <si>
    <t>2023122499000608</t>
  </si>
  <si>
    <t>罗冬梅</t>
  </si>
  <si>
    <t>赣DF29938</t>
  </si>
  <si>
    <t>24011614FQ3600006301021</t>
  </si>
  <si>
    <t>2023121999004461</t>
  </si>
  <si>
    <t>罗海英</t>
  </si>
  <si>
    <t>赣D80C66</t>
  </si>
  <si>
    <t>24011614FQ3600006301003</t>
  </si>
  <si>
    <t>赣D00P32</t>
  </si>
  <si>
    <t>24011614FQ3600006301023</t>
  </si>
  <si>
    <t>2023122699006303</t>
  </si>
  <si>
    <t>欧阳云梅</t>
  </si>
  <si>
    <t>赣D63672</t>
  </si>
  <si>
    <t>24011614FQ3600006301024</t>
  </si>
  <si>
    <t>2023122199000499</t>
  </si>
  <si>
    <t>裴选良</t>
  </si>
  <si>
    <t>赣DRP767</t>
  </si>
  <si>
    <t>24011614FQ3600006301025</t>
  </si>
  <si>
    <t>2023121599006411</t>
  </si>
  <si>
    <t>彭爱民</t>
  </si>
  <si>
    <t>赣D19899</t>
  </si>
  <si>
    <t>24011614FQ3600006301026</t>
  </si>
  <si>
    <t>2023121699003908</t>
  </si>
  <si>
    <t>彭鑫</t>
  </si>
  <si>
    <t>赣D87A50</t>
  </si>
  <si>
    <t>24011614FQ3600006301027</t>
  </si>
  <si>
    <t>2023121099002034</t>
  </si>
  <si>
    <t>钱芳龙</t>
  </si>
  <si>
    <t>赣DTU036</t>
  </si>
  <si>
    <t>24011614FQ3600006301028</t>
  </si>
  <si>
    <t>2023121899004861</t>
  </si>
  <si>
    <t>田仁秀</t>
  </si>
  <si>
    <t>赣D2079X</t>
  </si>
  <si>
    <t>24011614FQ3600006301029</t>
  </si>
  <si>
    <t>2023121099000341</t>
  </si>
  <si>
    <t>万淑娟</t>
  </si>
  <si>
    <t>赣D0D989</t>
  </si>
  <si>
    <t>24011614FQ3600006301030</t>
  </si>
  <si>
    <t>2023122399005224</t>
  </si>
  <si>
    <t>王晖</t>
  </si>
  <si>
    <t>赣D3L665</t>
  </si>
  <si>
    <t>24011614FQ3600006301031</t>
  </si>
  <si>
    <t>2023122399000810</t>
  </si>
  <si>
    <t>王瑾越</t>
  </si>
  <si>
    <t>赣D08E05</t>
  </si>
  <si>
    <t>24011614FQ3600006301032</t>
  </si>
  <si>
    <t>2023122899003856</t>
  </si>
  <si>
    <t>温馨</t>
  </si>
  <si>
    <t>赣D6Q835</t>
  </si>
  <si>
    <t>24011614FQ3600006301033</t>
  </si>
  <si>
    <t>2024010199001828</t>
  </si>
  <si>
    <t>吴锦先</t>
  </si>
  <si>
    <t>赣D80Y66</t>
  </si>
  <si>
    <t>24011614FQ3600006301034</t>
  </si>
  <si>
    <t>2023122599008146</t>
  </si>
  <si>
    <t>肖淑云</t>
  </si>
  <si>
    <t>赣D0799Q</t>
  </si>
  <si>
    <t>24011614FQ3600006301035</t>
  </si>
  <si>
    <t>2023122499001679</t>
  </si>
  <si>
    <t>肖小梅</t>
  </si>
  <si>
    <t>赣D73M66</t>
  </si>
  <si>
    <t>24011614FQ3600006301036</t>
  </si>
  <si>
    <t>2023122799005397</t>
  </si>
  <si>
    <t>肖秀兰</t>
  </si>
  <si>
    <t>赣DJW866</t>
  </si>
  <si>
    <t>24011614FQ3600006301037</t>
  </si>
  <si>
    <t>2023120980000617</t>
  </si>
  <si>
    <t>许逸</t>
  </si>
  <si>
    <t>赣D37Y52</t>
  </si>
  <si>
    <t>24011614FQ3600006301038</t>
  </si>
  <si>
    <t>2023122499004966</t>
  </si>
  <si>
    <t>姚春亮</t>
  </si>
  <si>
    <t>赣DF18280</t>
  </si>
  <si>
    <t>24011614FQ3600006301039</t>
  </si>
  <si>
    <t>2023122699001336</t>
  </si>
  <si>
    <t>姚小盼</t>
  </si>
  <si>
    <t>赣DKE176</t>
  </si>
  <si>
    <t>24011614FQ3600006301040</t>
  </si>
  <si>
    <t>2023120999004107</t>
  </si>
  <si>
    <t>袁演花</t>
  </si>
  <si>
    <t>赣D2099X</t>
  </si>
  <si>
    <t>24011614FQ3600006301041</t>
  </si>
  <si>
    <t>2024010480000867</t>
  </si>
  <si>
    <t>张湘萍</t>
  </si>
  <si>
    <t>赣D0990M</t>
  </si>
  <si>
    <t>24011614FQ3600006301042</t>
  </si>
  <si>
    <t>2023121299002486</t>
  </si>
  <si>
    <t>赵小玉</t>
  </si>
  <si>
    <t>赣DMK585</t>
  </si>
  <si>
    <t>24011614FQ3600006301043</t>
  </si>
  <si>
    <t>2023122299000797</t>
  </si>
  <si>
    <t>周润</t>
  </si>
  <si>
    <t>赣D66Z34</t>
  </si>
  <si>
    <t>24011614FQ3600006301044</t>
  </si>
  <si>
    <t>2023122599003601</t>
  </si>
  <si>
    <t>周在发</t>
  </si>
  <si>
    <t>赣D5P111</t>
  </si>
  <si>
    <t>24011614FQ3600006301045</t>
  </si>
  <si>
    <t>2023121999008536</t>
  </si>
  <si>
    <t>左芳</t>
  </si>
  <si>
    <t>赣D56705</t>
  </si>
  <si>
    <t>24011614043600006305014</t>
  </si>
  <si>
    <t>3699950Q123126245325</t>
  </si>
  <si>
    <t>易光瞻</t>
  </si>
  <si>
    <t>赣DDL375</t>
  </si>
  <si>
    <t>24012311FQ3600006301001</t>
  </si>
  <si>
    <t>2023121799002463</t>
  </si>
  <si>
    <t>彭玉城</t>
  </si>
  <si>
    <t>赣DD59018</t>
  </si>
  <si>
    <t>24012311FQ3600006301002</t>
  </si>
  <si>
    <t>2023120880000211</t>
  </si>
  <si>
    <t>詹小明</t>
  </si>
  <si>
    <t>赣D59199</t>
  </si>
  <si>
    <t>24012311FQ3600006301003</t>
  </si>
  <si>
    <t>2023112980002712</t>
  </si>
  <si>
    <t>钟国明</t>
  </si>
  <si>
    <t>赣D0Q138</t>
  </si>
  <si>
    <t>24012311FQ3600006301004</t>
  </si>
  <si>
    <t>2023121399007436</t>
  </si>
  <si>
    <t>曾文芳</t>
  </si>
  <si>
    <t>赣DPC662</t>
  </si>
  <si>
    <t>24012311FQ3600006301005</t>
  </si>
  <si>
    <t>2023121699002247</t>
  </si>
  <si>
    <t>陈焕华</t>
  </si>
  <si>
    <t>赣DMF219</t>
  </si>
  <si>
    <t>24012311FQ3600006301006</t>
  </si>
  <si>
    <t>2023122299008046</t>
  </si>
  <si>
    <t>陈菊英</t>
  </si>
  <si>
    <t>赣D793E2</t>
  </si>
  <si>
    <t>24012311FQ3600006301007</t>
  </si>
  <si>
    <t>2023121699002099</t>
  </si>
  <si>
    <t>陈祥仲</t>
  </si>
  <si>
    <t>赣D5557B</t>
  </si>
  <si>
    <t>24012311FQ3600006301008</t>
  </si>
  <si>
    <t>2023121799001745</t>
  </si>
  <si>
    <t>邓莹荣</t>
  </si>
  <si>
    <t>赣D327N7</t>
  </si>
  <si>
    <t>24012311FQ3600006301009</t>
  </si>
  <si>
    <t>2023123099003719</t>
  </si>
  <si>
    <t>高颖</t>
  </si>
  <si>
    <t>赣DD02319</t>
  </si>
  <si>
    <t>24012311FQ3600006301010</t>
  </si>
  <si>
    <t>2023122299007703</t>
  </si>
  <si>
    <t>古宝群</t>
  </si>
  <si>
    <t>赣D1U869</t>
  </si>
  <si>
    <t>24012311FQ3600006301011</t>
  </si>
  <si>
    <t>2024010799002899</t>
  </si>
  <si>
    <t>郭桂香</t>
  </si>
  <si>
    <t>赣DD58558</t>
  </si>
  <si>
    <t>24012311FQ3600006301012</t>
  </si>
  <si>
    <t>2023121399004826</t>
  </si>
  <si>
    <t>郭旭红</t>
  </si>
  <si>
    <t>赣DRP700</t>
  </si>
  <si>
    <t>24012311FQ3600006301013</t>
  </si>
  <si>
    <t>2023122599007695</t>
  </si>
  <si>
    <t>胡大沩</t>
  </si>
  <si>
    <t>赣D82Y55</t>
  </si>
  <si>
    <t>24012311FQ3600006301014</t>
  </si>
  <si>
    <t>2023112880003408</t>
  </si>
  <si>
    <t>江德华</t>
  </si>
  <si>
    <t>赣DLP568</t>
  </si>
  <si>
    <t>24012310043600006305001</t>
  </si>
  <si>
    <t>36010304123125981777</t>
  </si>
  <si>
    <t>夏龙龙</t>
  </si>
  <si>
    <t>江西军纲建设工程有限公司</t>
  </si>
  <si>
    <t>赣DGU197</t>
  </si>
  <si>
    <t>24012311FQ3600006301015</t>
  </si>
  <si>
    <t>2023122199006245</t>
  </si>
  <si>
    <t>焦海</t>
  </si>
  <si>
    <t>赣D2336F</t>
  </si>
  <si>
    <t>24012311FQ3600006301016</t>
  </si>
  <si>
    <t>2024010299002372</t>
  </si>
  <si>
    <t>李斌</t>
  </si>
  <si>
    <t>赣D7127Z</t>
  </si>
  <si>
    <t>24012311FQ3600006301017</t>
  </si>
  <si>
    <t>2024010199001689</t>
  </si>
  <si>
    <t>李满英</t>
  </si>
  <si>
    <t>赣DLC167</t>
  </si>
  <si>
    <t>24012311FQ3600006301018</t>
  </si>
  <si>
    <t>2023122599002004</t>
  </si>
  <si>
    <t>李善宾</t>
  </si>
  <si>
    <t>赣D2276Y</t>
  </si>
  <si>
    <t>24012311FQ3600006301019</t>
  </si>
  <si>
    <t>2024011199007190</t>
  </si>
  <si>
    <t>林亚权</t>
  </si>
  <si>
    <t>赣DFP786</t>
  </si>
  <si>
    <t>24012311FQ3600006301020</t>
  </si>
  <si>
    <t>2023122299006309</t>
  </si>
  <si>
    <t>林永祥</t>
  </si>
  <si>
    <t>赣DRM997</t>
  </si>
  <si>
    <t>24012311FQ3600006301021</t>
  </si>
  <si>
    <t>2023122399005508</t>
  </si>
  <si>
    <t>刘金芳</t>
  </si>
  <si>
    <t>赣DER768</t>
  </si>
  <si>
    <t>24012311FQ3600006301022</t>
  </si>
  <si>
    <t>2024010599005737</t>
  </si>
  <si>
    <t>刘连平</t>
  </si>
  <si>
    <t>赣DEV975</t>
  </si>
  <si>
    <t>24012311FQ3600006301023</t>
  </si>
  <si>
    <t>2023122799001204</t>
  </si>
  <si>
    <t>龙玉婷</t>
  </si>
  <si>
    <t>赣DLH028</t>
  </si>
  <si>
    <t>24012311FQ3600006301024</t>
  </si>
  <si>
    <t>2023111980000761</t>
  </si>
  <si>
    <t>毛涛</t>
  </si>
  <si>
    <t>赣C6396P</t>
  </si>
  <si>
    <t>24012312FQ3600006301001</t>
  </si>
  <si>
    <t>2023122499004312</t>
  </si>
  <si>
    <t>闵忠凤</t>
  </si>
  <si>
    <t>赣DJZ379</t>
  </si>
  <si>
    <t>24012312FQ3600006301002</t>
  </si>
  <si>
    <t>2023123099003871</t>
  </si>
  <si>
    <t>欧阳细风</t>
  </si>
  <si>
    <t>赣DRM996</t>
  </si>
  <si>
    <t>24012314FQ3600006301001</t>
  </si>
  <si>
    <t>2024010999003787</t>
  </si>
  <si>
    <t>彭春艳</t>
  </si>
  <si>
    <t>赣DD16313</t>
  </si>
  <si>
    <t>24012314FQ3600006301002</t>
  </si>
  <si>
    <t>2023122599007942</t>
  </si>
  <si>
    <t>彭丽娟</t>
  </si>
  <si>
    <t>赣D6553K</t>
  </si>
  <si>
    <t>24012314FQ3600006301003</t>
  </si>
  <si>
    <t>2023121399008081</t>
  </si>
  <si>
    <t>彭树生</t>
  </si>
  <si>
    <t>赣D7285C</t>
  </si>
  <si>
    <t>24012314FQ3600006301004</t>
  </si>
  <si>
    <t>2023122699000121</t>
  </si>
  <si>
    <t>皮冉昕</t>
  </si>
  <si>
    <t>赣DSW567</t>
  </si>
  <si>
    <t>24012314FQ3600006301005</t>
  </si>
  <si>
    <t>2023122099001892</t>
  </si>
  <si>
    <t>王美芳</t>
  </si>
  <si>
    <t>赣D8G700</t>
  </si>
  <si>
    <t>24012314FQ3600006301006</t>
  </si>
  <si>
    <t>2023122099005699</t>
  </si>
  <si>
    <t>伍斌斌</t>
  </si>
  <si>
    <t>赣DDS513</t>
  </si>
  <si>
    <t>24012314FQ3600006301007</t>
  </si>
  <si>
    <t>2023121799003592</t>
  </si>
  <si>
    <t>夏淑华</t>
  </si>
  <si>
    <t>赣DRC676</t>
  </si>
  <si>
    <t>24012314FQ3600006301008</t>
  </si>
  <si>
    <t>2024010699003987</t>
  </si>
  <si>
    <t>肖文华</t>
  </si>
  <si>
    <t>赣D8E000</t>
  </si>
  <si>
    <t>24012314FQ3600006301009</t>
  </si>
  <si>
    <t>2024010399003066</t>
  </si>
  <si>
    <t>肖艳华</t>
  </si>
  <si>
    <t>赣D0916M</t>
  </si>
  <si>
    <t>24012314FQ3600006301010</t>
  </si>
  <si>
    <t>2023121899006956</t>
  </si>
  <si>
    <t>谢彩萍</t>
  </si>
  <si>
    <t>赣DFA576</t>
  </si>
  <si>
    <t>24012314FQ3600006301011</t>
  </si>
  <si>
    <t>2024010799002997</t>
  </si>
  <si>
    <t>颜四怡</t>
  </si>
  <si>
    <t>赣DMX975</t>
  </si>
  <si>
    <t>24012314FQ3600006301012</t>
  </si>
  <si>
    <t>2024010399006175</t>
  </si>
  <si>
    <t>杨荣怀</t>
  </si>
  <si>
    <t>赣D18Z48</t>
  </si>
  <si>
    <t>24012314FQ3600006301013</t>
  </si>
  <si>
    <t>2024010699004697</t>
  </si>
  <si>
    <t>叶华玉</t>
  </si>
  <si>
    <t>赣DPF668</t>
  </si>
  <si>
    <t>24012314FQ3600006301014</t>
  </si>
  <si>
    <t>2023122499005228</t>
  </si>
  <si>
    <t>易晨</t>
  </si>
  <si>
    <t>赣D1707W</t>
  </si>
  <si>
    <t>24012314FQ3600006301015</t>
  </si>
  <si>
    <t>2023121899004735</t>
  </si>
  <si>
    <t>尹留根</t>
  </si>
  <si>
    <t>赣D53T39</t>
  </si>
  <si>
    <t>24012314FQ3600006301016</t>
  </si>
  <si>
    <t>2024010799004076</t>
  </si>
  <si>
    <t>袁小金</t>
  </si>
  <si>
    <t>赣DEK576</t>
  </si>
  <si>
    <t>24012314FQ3600006301017</t>
  </si>
  <si>
    <t>2023121699002078</t>
  </si>
  <si>
    <t>张庆盛</t>
  </si>
  <si>
    <t>赣DML991</t>
  </si>
  <si>
    <t>24012314FQ3600006301018</t>
  </si>
  <si>
    <t>2023121999005239</t>
  </si>
  <si>
    <t>周靓云</t>
  </si>
  <si>
    <t>赣D0971M</t>
  </si>
  <si>
    <t>24012314FQ3600006301019</t>
  </si>
  <si>
    <t>2023121699003483</t>
  </si>
  <si>
    <t>周俊</t>
  </si>
  <si>
    <t>赣DLV515</t>
  </si>
  <si>
    <t>作业监督岗：                                                               日期：   2024 年 1月   日</t>
  </si>
  <si>
    <t>客户经理：                                                                 日期：   2024 年 1月    日</t>
  </si>
  <si>
    <t>现金运营人员：                                                             日期：    2024年  1月   日</t>
  </si>
  <si>
    <t>现金运营人员：                                                             日期：   2024年  1月 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</si>
</sst>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;@"/>
  </numFmts>
  <fonts count="12" x14ac:knownFonts="1">
    <font>
      <sz val="11"/>
      <color theme="1"/>
      <name val="宋体"/>
      <charset val="134"/>
      <scheme val="minor"/>
    </font>
    <font>
      <sz val="12"/>
      <name val="新宋体"/>
      <family val="3"/>
      <charset val="134"/>
    </font>
    <font>
      <sz val="11"/>
      <name val="新宋体"/>
      <family val="3"/>
      <charset val="134"/>
    </font>
    <font>
      <sz val="14"/>
      <name val="新宋体"/>
      <family val="3"/>
      <charset val="134"/>
    </font>
    <font>
      <u/>
      <sz val="12"/>
      <name val="新宋体"/>
      <family val="3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仿宋"/>
      <family val="3"/>
      <charset val="134"/>
    </font>
    <font>
      <sz val="10"/>
      <color indexed="8"/>
      <name val="仿宋"/>
      <family val="3"/>
      <charset val="134"/>
    </font>
    <font>
      <sz val="10"/>
      <name val="新宋体"/>
      <family val="3"/>
      <charset val="134"/>
    </font>
    <font>
      <sz val="9"/>
      <name val="新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178" fontId="6" fillId="2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178" fontId="6" fillId="0" borderId="1" xfId="0" quotePrefix="1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7"/>
  <sheetViews>
    <sheetView tabSelected="1" view="pageBreakPreview" zoomScale="115" zoomScaleNormal="130" workbookViewId="0">
      <pane ySplit="4" topLeftCell="A5" activePane="bottomLeft" state="frozen"/>
      <selection pane="bottomLeft" activeCell="C15" sqref="C15"/>
    </sheetView>
  </sheetViews>
  <sheetFormatPr defaultColWidth="9" defaultRowHeight="23.25" customHeight="1" x14ac:dyDescent="0.15"/>
  <cols>
    <col min="1" max="1" width="5.875" style="2" customWidth="1"/>
    <col min="2" max="2" width="7.625" style="2" customWidth="1"/>
    <col min="3" max="3" width="13" style="4" customWidth="1"/>
    <col min="4" max="4" width="13.25" style="4" customWidth="1"/>
    <col min="5" max="5" width="14.375" style="2" customWidth="1"/>
    <col min="6" max="6" width="12.375" style="4" customWidth="1"/>
    <col min="7" max="7" width="8.125" style="4" customWidth="1"/>
    <col min="8" max="8" width="18.125" style="2" customWidth="1"/>
    <col min="9" max="9" width="13.12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9" t="s">
        <v>9</v>
      </c>
      <c r="H4" s="38" t="s">
        <v>10</v>
      </c>
      <c r="I4" s="38" t="s">
        <v>11</v>
      </c>
      <c r="J4" s="37" t="s">
        <v>12</v>
      </c>
    </row>
    <row r="5" spans="1:10" s="3" customFormat="1" ht="24" x14ac:dyDescent="0.15">
      <c r="A5" s="7">
        <v>1</v>
      </c>
      <c r="B5" s="15">
        <v>4736</v>
      </c>
      <c r="C5" s="42" t="s">
        <v>13</v>
      </c>
      <c r="D5" s="16" t="s">
        <v>14</v>
      </c>
      <c r="E5" s="17" t="s">
        <v>15</v>
      </c>
      <c r="F5" s="17" t="s">
        <v>15</v>
      </c>
      <c r="G5" s="15" t="s">
        <v>16</v>
      </c>
      <c r="H5" s="40" t="s">
        <v>17</v>
      </c>
      <c r="I5" s="16">
        <v>68</v>
      </c>
      <c r="J5" s="9"/>
    </row>
    <row r="6" spans="1:10" s="3" customFormat="1" ht="24" x14ac:dyDescent="0.15">
      <c r="A6" s="7">
        <v>2</v>
      </c>
      <c r="B6" s="15">
        <v>15100</v>
      </c>
      <c r="C6" s="42" t="s">
        <v>18</v>
      </c>
      <c r="D6" s="16" t="s">
        <v>19</v>
      </c>
      <c r="E6" s="17" t="s">
        <v>20</v>
      </c>
      <c r="F6" s="17" t="s">
        <v>20</v>
      </c>
      <c r="G6" s="15" t="s">
        <v>21</v>
      </c>
      <c r="H6" s="40" t="s">
        <v>22</v>
      </c>
      <c r="I6" s="14">
        <v>56</v>
      </c>
      <c r="J6" s="9"/>
    </row>
    <row r="7" spans="1:10" s="3" customFormat="1" ht="24" x14ac:dyDescent="0.15">
      <c r="A7" s="7">
        <v>3</v>
      </c>
      <c r="B7" s="15">
        <v>15101</v>
      </c>
      <c r="C7" s="42" t="s">
        <v>23</v>
      </c>
      <c r="D7" s="16" t="s">
        <v>24</v>
      </c>
      <c r="E7" s="17" t="s">
        <v>25</v>
      </c>
      <c r="F7" s="17" t="s">
        <v>26</v>
      </c>
      <c r="G7" s="15" t="s">
        <v>21</v>
      </c>
      <c r="H7" s="40" t="s">
        <v>27</v>
      </c>
      <c r="I7" s="14">
        <v>55</v>
      </c>
      <c r="J7" s="9"/>
    </row>
    <row r="8" spans="1:10" s="3" customFormat="1" ht="24" x14ac:dyDescent="0.15">
      <c r="A8" s="7">
        <v>4</v>
      </c>
      <c r="B8" s="15">
        <v>15102</v>
      </c>
      <c r="C8" s="42" t="s">
        <v>28</v>
      </c>
      <c r="D8" s="16" t="s">
        <v>29</v>
      </c>
      <c r="E8" s="17" t="s">
        <v>30</v>
      </c>
      <c r="F8" s="17" t="s">
        <v>30</v>
      </c>
      <c r="G8" s="15" t="s">
        <v>21</v>
      </c>
      <c r="H8" s="40" t="s">
        <v>31</v>
      </c>
      <c r="I8" s="14">
        <v>54</v>
      </c>
      <c r="J8" s="9"/>
    </row>
    <row r="9" spans="1:10" s="3" customFormat="1" ht="24" x14ac:dyDescent="0.15">
      <c r="A9" s="7">
        <v>5</v>
      </c>
      <c r="B9" s="15">
        <v>15103</v>
      </c>
      <c r="C9" s="42" t="s">
        <v>32</v>
      </c>
      <c r="D9" s="16" t="s">
        <v>33</v>
      </c>
      <c r="E9" s="17" t="s">
        <v>34</v>
      </c>
      <c r="F9" s="17" t="s">
        <v>34</v>
      </c>
      <c r="G9" s="15" t="s">
        <v>21</v>
      </c>
      <c r="H9" s="40" t="s">
        <v>35</v>
      </c>
      <c r="I9" s="14">
        <v>67</v>
      </c>
      <c r="J9" s="9"/>
    </row>
    <row r="10" spans="1:10" s="3" customFormat="1" ht="24" x14ac:dyDescent="0.15">
      <c r="A10" s="7">
        <v>6</v>
      </c>
      <c r="B10" s="15">
        <v>15104</v>
      </c>
      <c r="C10" s="42" t="s">
        <v>36</v>
      </c>
      <c r="D10" s="16" t="s">
        <v>37</v>
      </c>
      <c r="E10" s="17" t="s">
        <v>38</v>
      </c>
      <c r="F10" s="17" t="s">
        <v>39</v>
      </c>
      <c r="G10" s="15" t="s">
        <v>21</v>
      </c>
      <c r="H10" s="40" t="s">
        <v>40</v>
      </c>
      <c r="I10" s="14">
        <v>63</v>
      </c>
      <c r="J10" s="9"/>
    </row>
    <row r="11" spans="1:10" s="3" customFormat="1" ht="24" x14ac:dyDescent="0.15">
      <c r="A11" s="7">
        <v>7</v>
      </c>
      <c r="B11" s="15">
        <v>15105</v>
      </c>
      <c r="C11" s="42" t="s">
        <v>41</v>
      </c>
      <c r="D11" s="43" t="s">
        <v>42</v>
      </c>
      <c r="E11" s="17" t="s">
        <v>43</v>
      </c>
      <c r="F11" s="17" t="s">
        <v>44</v>
      </c>
      <c r="G11" s="15" t="s">
        <v>21</v>
      </c>
      <c r="H11" s="40" t="s">
        <v>45</v>
      </c>
      <c r="I11" s="14">
        <v>26</v>
      </c>
      <c r="J11" s="9"/>
    </row>
    <row r="12" spans="1:10" s="3" customFormat="1" ht="24" x14ac:dyDescent="0.15">
      <c r="A12" s="7">
        <v>8</v>
      </c>
      <c r="B12" s="15">
        <v>2334</v>
      </c>
      <c r="C12" s="17" t="s">
        <v>46</v>
      </c>
      <c r="D12" s="43" t="s">
        <v>47</v>
      </c>
      <c r="E12" s="17" t="s">
        <v>48</v>
      </c>
      <c r="F12" s="17" t="s">
        <v>48</v>
      </c>
      <c r="G12" s="15" t="s">
        <v>49</v>
      </c>
      <c r="H12" s="44" t="s">
        <v>50</v>
      </c>
      <c r="I12" s="14">
        <v>27</v>
      </c>
      <c r="J12" s="9"/>
    </row>
    <row r="13" spans="1:10" s="3" customFormat="1" ht="24" x14ac:dyDescent="0.15">
      <c r="A13" s="7">
        <v>9</v>
      </c>
      <c r="B13" s="15">
        <v>2335</v>
      </c>
      <c r="C13" s="17" t="s">
        <v>51</v>
      </c>
      <c r="D13" s="43" t="s">
        <v>52</v>
      </c>
      <c r="E13" s="17" t="s">
        <v>53</v>
      </c>
      <c r="F13" s="17" t="s">
        <v>53</v>
      </c>
      <c r="G13" s="15" t="s">
        <v>49</v>
      </c>
      <c r="H13" s="40" t="s">
        <v>54</v>
      </c>
      <c r="I13" s="14">
        <v>26.5</v>
      </c>
      <c r="J13" s="9"/>
    </row>
    <row r="14" spans="1:10" s="3" customFormat="1" ht="24" x14ac:dyDescent="0.15">
      <c r="A14" s="7">
        <v>10</v>
      </c>
      <c r="B14" s="15">
        <v>2336</v>
      </c>
      <c r="C14" s="17" t="s">
        <v>55</v>
      </c>
      <c r="D14" s="43" t="s">
        <v>56</v>
      </c>
      <c r="E14" s="17" t="s">
        <v>57</v>
      </c>
      <c r="F14" s="17" t="s">
        <v>57</v>
      </c>
      <c r="G14" s="15" t="s">
        <v>49</v>
      </c>
      <c r="H14" s="44" t="s">
        <v>58</v>
      </c>
      <c r="I14" s="14">
        <v>24.3</v>
      </c>
      <c r="J14" s="9"/>
    </row>
    <row r="15" spans="1:10" s="3" customFormat="1" ht="24" x14ac:dyDescent="0.15">
      <c r="A15" s="7">
        <v>11</v>
      </c>
      <c r="B15" s="15">
        <v>2337</v>
      </c>
      <c r="C15" s="17" t="s">
        <v>59</v>
      </c>
      <c r="D15" s="16" t="s">
        <v>60</v>
      </c>
      <c r="E15" s="17" t="s">
        <v>61</v>
      </c>
      <c r="F15" s="17" t="s">
        <v>61</v>
      </c>
      <c r="G15" s="15" t="s">
        <v>49</v>
      </c>
      <c r="H15" s="44" t="s">
        <v>62</v>
      </c>
      <c r="I15" s="14">
        <v>24</v>
      </c>
      <c r="J15" s="9"/>
    </row>
    <row r="16" spans="1:10" s="3" customFormat="1" ht="24" x14ac:dyDescent="0.15">
      <c r="A16" s="7">
        <v>12</v>
      </c>
      <c r="B16" s="15">
        <v>2338</v>
      </c>
      <c r="C16" s="17" t="s">
        <v>63</v>
      </c>
      <c r="D16" s="16" t="s">
        <v>64</v>
      </c>
      <c r="E16" s="17" t="s">
        <v>65</v>
      </c>
      <c r="F16" s="17" t="s">
        <v>65</v>
      </c>
      <c r="G16" s="15" t="s">
        <v>49</v>
      </c>
      <c r="H16" s="40" t="s">
        <v>66</v>
      </c>
      <c r="I16" s="14">
        <v>24.6</v>
      </c>
      <c r="J16" s="9"/>
    </row>
    <row r="17" spans="1:10" s="3" customFormat="1" ht="24" x14ac:dyDescent="0.15">
      <c r="A17" s="7">
        <v>13</v>
      </c>
      <c r="B17" s="15">
        <v>2339</v>
      </c>
      <c r="C17" s="17" t="s">
        <v>67</v>
      </c>
      <c r="D17" s="16" t="s">
        <v>68</v>
      </c>
      <c r="E17" s="17" t="s">
        <v>69</v>
      </c>
      <c r="F17" s="17" t="s">
        <v>69</v>
      </c>
      <c r="G17" s="15" t="s">
        <v>49</v>
      </c>
      <c r="H17" s="40" t="s">
        <v>70</v>
      </c>
      <c r="I17" s="14">
        <v>16.2</v>
      </c>
      <c r="J17" s="9"/>
    </row>
    <row r="18" spans="1:10" s="3" customFormat="1" ht="24" x14ac:dyDescent="0.15">
      <c r="A18" s="7">
        <v>14</v>
      </c>
      <c r="B18" s="15">
        <v>2340</v>
      </c>
      <c r="C18" s="17" t="s">
        <v>71</v>
      </c>
      <c r="D18" s="16" t="s">
        <v>72</v>
      </c>
      <c r="E18" s="17" t="s">
        <v>73</v>
      </c>
      <c r="F18" s="17" t="s">
        <v>73</v>
      </c>
      <c r="G18" s="15" t="s">
        <v>49</v>
      </c>
      <c r="H18" s="40" t="s">
        <v>74</v>
      </c>
      <c r="I18" s="14">
        <v>17.600000000000001</v>
      </c>
      <c r="J18" s="9"/>
    </row>
    <row r="19" spans="1:10" s="3" customFormat="1" ht="24" x14ac:dyDescent="0.15">
      <c r="A19" s="7">
        <v>15</v>
      </c>
      <c r="B19" s="15">
        <v>2341</v>
      </c>
      <c r="C19" s="17" t="s">
        <v>75</v>
      </c>
      <c r="D19" s="16" t="s">
        <v>76</v>
      </c>
      <c r="E19" s="17" t="s">
        <v>77</v>
      </c>
      <c r="F19" s="17" t="s">
        <v>77</v>
      </c>
      <c r="G19" s="15" t="s">
        <v>49</v>
      </c>
      <c r="H19" s="40" t="s">
        <v>78</v>
      </c>
      <c r="I19" s="14">
        <v>37.68</v>
      </c>
      <c r="J19" s="9"/>
    </row>
    <row r="20" spans="1:10" s="3" customFormat="1" ht="24" x14ac:dyDescent="0.15">
      <c r="A20" s="7">
        <v>16</v>
      </c>
      <c r="B20" s="15">
        <v>2342</v>
      </c>
      <c r="C20" s="17" t="s">
        <v>79</v>
      </c>
      <c r="D20" s="16" t="s">
        <v>80</v>
      </c>
      <c r="E20" s="17" t="s">
        <v>81</v>
      </c>
      <c r="F20" s="17" t="s">
        <v>81</v>
      </c>
      <c r="G20" s="15" t="s">
        <v>49</v>
      </c>
      <c r="H20" s="40" t="s">
        <v>82</v>
      </c>
      <c r="I20" s="14">
        <v>25</v>
      </c>
      <c r="J20" s="9"/>
    </row>
    <row r="21" spans="1:10" s="3" customFormat="1" ht="24" x14ac:dyDescent="0.15">
      <c r="A21" s="7">
        <v>17</v>
      </c>
      <c r="B21" s="15">
        <v>2343</v>
      </c>
      <c r="C21" s="17" t="s">
        <v>83</v>
      </c>
      <c r="D21" s="16" t="s">
        <v>84</v>
      </c>
      <c r="E21" s="17" t="s">
        <v>85</v>
      </c>
      <c r="F21" s="17" t="s">
        <v>85</v>
      </c>
      <c r="G21" s="15" t="s">
        <v>49</v>
      </c>
      <c r="H21" s="40" t="s">
        <v>86</v>
      </c>
      <c r="I21" s="14">
        <v>16</v>
      </c>
      <c r="J21" s="9"/>
    </row>
    <row r="22" spans="1:10" s="3" customFormat="1" ht="24" x14ac:dyDescent="0.15">
      <c r="A22" s="7">
        <v>18</v>
      </c>
      <c r="B22" s="15">
        <v>2344</v>
      </c>
      <c r="C22" s="17" t="s">
        <v>87</v>
      </c>
      <c r="D22" s="16" t="s">
        <v>88</v>
      </c>
      <c r="E22" s="17" t="s">
        <v>89</v>
      </c>
      <c r="F22" s="17" t="s">
        <v>89</v>
      </c>
      <c r="G22" s="15" t="s">
        <v>49</v>
      </c>
      <c r="H22" s="40" t="s">
        <v>90</v>
      </c>
      <c r="I22" s="14">
        <v>24</v>
      </c>
      <c r="J22" s="9"/>
    </row>
    <row r="23" spans="1:10" s="3" customFormat="1" ht="24" x14ac:dyDescent="0.15">
      <c r="A23" s="7">
        <v>19</v>
      </c>
      <c r="B23" s="15">
        <v>2345</v>
      </c>
      <c r="C23" s="17" t="s">
        <v>91</v>
      </c>
      <c r="D23" s="16" t="s">
        <v>92</v>
      </c>
      <c r="E23" s="17" t="s">
        <v>93</v>
      </c>
      <c r="F23" s="17" t="s">
        <v>93</v>
      </c>
      <c r="G23" s="15" t="s">
        <v>49</v>
      </c>
      <c r="H23" s="40" t="s">
        <v>94</v>
      </c>
      <c r="I23" s="14">
        <v>26.2</v>
      </c>
      <c r="J23" s="9"/>
    </row>
    <row r="24" spans="1:10" s="3" customFormat="1" ht="24" x14ac:dyDescent="0.15">
      <c r="A24" s="7">
        <v>20</v>
      </c>
      <c r="B24" s="15">
        <v>2346</v>
      </c>
      <c r="C24" s="17" t="s">
        <v>95</v>
      </c>
      <c r="D24" s="43" t="s">
        <v>96</v>
      </c>
      <c r="E24" s="17" t="s">
        <v>97</v>
      </c>
      <c r="F24" s="17" t="s">
        <v>97</v>
      </c>
      <c r="G24" s="15" t="s">
        <v>49</v>
      </c>
      <c r="H24" s="17" t="s">
        <v>98</v>
      </c>
      <c r="I24" s="14">
        <v>23.8</v>
      </c>
      <c r="J24" s="9"/>
    </row>
    <row r="25" spans="1:10" s="3" customFormat="1" ht="24" x14ac:dyDescent="0.15">
      <c r="A25" s="7">
        <v>21</v>
      </c>
      <c r="B25" s="15">
        <v>2347</v>
      </c>
      <c r="C25" s="17" t="s">
        <v>99</v>
      </c>
      <c r="D25" s="16" t="s">
        <v>100</v>
      </c>
      <c r="E25" s="17" t="s">
        <v>101</v>
      </c>
      <c r="F25" s="17" t="s">
        <v>101</v>
      </c>
      <c r="G25" s="15" t="s">
        <v>49</v>
      </c>
      <c r="H25" s="40" t="s">
        <v>102</v>
      </c>
      <c r="I25" s="14">
        <v>17</v>
      </c>
      <c r="J25" s="9"/>
    </row>
    <row r="26" spans="1:10" s="3" customFormat="1" ht="24" x14ac:dyDescent="0.15">
      <c r="A26" s="7">
        <v>22</v>
      </c>
      <c r="B26" s="15">
        <v>2348</v>
      </c>
      <c r="C26" s="17" t="s">
        <v>103</v>
      </c>
      <c r="D26" s="16" t="s">
        <v>104</v>
      </c>
      <c r="E26" s="17" t="s">
        <v>105</v>
      </c>
      <c r="F26" s="17" t="s">
        <v>105</v>
      </c>
      <c r="G26" s="15" t="s">
        <v>49</v>
      </c>
      <c r="H26" s="17" t="s">
        <v>106</v>
      </c>
      <c r="I26" s="14">
        <v>31</v>
      </c>
      <c r="J26" s="9"/>
    </row>
    <row r="27" spans="1:10" s="3" customFormat="1" ht="24" x14ac:dyDescent="0.15">
      <c r="A27" s="7">
        <v>23</v>
      </c>
      <c r="B27" s="15">
        <v>2349</v>
      </c>
      <c r="C27" s="17" t="s">
        <v>107</v>
      </c>
      <c r="D27" s="16" t="s">
        <v>108</v>
      </c>
      <c r="E27" s="17" t="s">
        <v>109</v>
      </c>
      <c r="F27" s="17" t="s">
        <v>109</v>
      </c>
      <c r="G27" s="15" t="s">
        <v>49</v>
      </c>
      <c r="H27" s="40" t="s">
        <v>110</v>
      </c>
      <c r="I27" s="14">
        <v>17.600000000000001</v>
      </c>
      <c r="J27" s="9"/>
    </row>
    <row r="28" spans="1:10" s="3" customFormat="1" ht="24" x14ac:dyDescent="0.15">
      <c r="A28" s="7">
        <v>24</v>
      </c>
      <c r="B28" s="15">
        <v>2350</v>
      </c>
      <c r="C28" s="17" t="s">
        <v>111</v>
      </c>
      <c r="D28" s="16" t="s">
        <v>112</v>
      </c>
      <c r="E28" s="17" t="s">
        <v>113</v>
      </c>
      <c r="F28" s="17" t="s">
        <v>113</v>
      </c>
      <c r="G28" s="15" t="s">
        <v>49</v>
      </c>
      <c r="H28" s="40" t="s">
        <v>114</v>
      </c>
      <c r="I28" s="14">
        <v>16</v>
      </c>
      <c r="J28" s="9"/>
    </row>
    <row r="29" spans="1:10" s="3" customFormat="1" ht="24" x14ac:dyDescent="0.15">
      <c r="A29" s="7">
        <v>25</v>
      </c>
      <c r="B29" s="15">
        <v>2351</v>
      </c>
      <c r="C29" s="17" t="s">
        <v>115</v>
      </c>
      <c r="D29" s="16" t="s">
        <v>116</v>
      </c>
      <c r="E29" s="17" t="s">
        <v>117</v>
      </c>
      <c r="F29" s="17" t="s">
        <v>117</v>
      </c>
      <c r="G29" s="15" t="s">
        <v>49</v>
      </c>
      <c r="H29" s="40" t="s">
        <v>118</v>
      </c>
      <c r="I29" s="14">
        <v>25.6</v>
      </c>
      <c r="J29" s="9"/>
    </row>
    <row r="30" spans="1:10" s="3" customFormat="1" ht="24" x14ac:dyDescent="0.15">
      <c r="A30" s="7">
        <v>26</v>
      </c>
      <c r="B30" s="15">
        <v>2352</v>
      </c>
      <c r="C30" s="17" t="s">
        <v>119</v>
      </c>
      <c r="D30" s="16" t="s">
        <v>120</v>
      </c>
      <c r="E30" s="17" t="s">
        <v>121</v>
      </c>
      <c r="F30" s="17" t="s">
        <v>121</v>
      </c>
      <c r="G30" s="15" t="s">
        <v>49</v>
      </c>
      <c r="H30" s="40" t="s">
        <v>122</v>
      </c>
      <c r="I30" s="14">
        <v>32</v>
      </c>
      <c r="J30" s="9"/>
    </row>
    <row r="31" spans="1:10" s="3" customFormat="1" ht="24" x14ac:dyDescent="0.15">
      <c r="A31" s="7">
        <v>27</v>
      </c>
      <c r="B31" s="15">
        <v>2353</v>
      </c>
      <c r="C31" s="17" t="s">
        <v>123</v>
      </c>
      <c r="D31" s="16" t="s">
        <v>124</v>
      </c>
      <c r="E31" s="17" t="s">
        <v>125</v>
      </c>
      <c r="F31" s="17" t="s">
        <v>125</v>
      </c>
      <c r="G31" s="15" t="s">
        <v>49</v>
      </c>
      <c r="H31" s="40" t="s">
        <v>126</v>
      </c>
      <c r="I31" s="14">
        <v>25.36</v>
      </c>
      <c r="J31" s="9"/>
    </row>
    <row r="32" spans="1:10" s="3" customFormat="1" ht="24" x14ac:dyDescent="0.15">
      <c r="A32" s="7">
        <v>28</v>
      </c>
      <c r="B32" s="15">
        <v>2354</v>
      </c>
      <c r="C32" s="17" t="s">
        <v>127</v>
      </c>
      <c r="D32" s="16" t="s">
        <v>128</v>
      </c>
      <c r="E32" s="17" t="s">
        <v>129</v>
      </c>
      <c r="F32" s="17" t="s">
        <v>129</v>
      </c>
      <c r="G32" s="15" t="s">
        <v>49</v>
      </c>
      <c r="H32" s="40" t="s">
        <v>130</v>
      </c>
      <c r="I32" s="14">
        <v>17</v>
      </c>
      <c r="J32" s="9"/>
    </row>
    <row r="33" spans="1:10" s="3" customFormat="1" ht="24" x14ac:dyDescent="0.15">
      <c r="A33" s="7">
        <v>29</v>
      </c>
      <c r="B33" s="15">
        <v>2355</v>
      </c>
      <c r="C33" s="17" t="s">
        <v>131</v>
      </c>
      <c r="D33" s="16" t="s">
        <v>132</v>
      </c>
      <c r="E33" s="17" t="s">
        <v>133</v>
      </c>
      <c r="F33" s="17" t="s">
        <v>133</v>
      </c>
      <c r="G33" s="15" t="s">
        <v>49</v>
      </c>
      <c r="H33" s="40" t="s">
        <v>134</v>
      </c>
      <c r="I33" s="14">
        <v>6</v>
      </c>
      <c r="J33" s="9"/>
    </row>
    <row r="34" spans="1:10" s="3" customFormat="1" ht="24" x14ac:dyDescent="0.15">
      <c r="A34" s="7">
        <v>30</v>
      </c>
      <c r="B34" s="15">
        <v>2356</v>
      </c>
      <c r="C34" s="17" t="s">
        <v>135</v>
      </c>
      <c r="D34" s="16" t="s">
        <v>136</v>
      </c>
      <c r="E34" s="17" t="s">
        <v>137</v>
      </c>
      <c r="F34" s="17" t="s">
        <v>137</v>
      </c>
      <c r="G34" s="15" t="s">
        <v>49</v>
      </c>
      <c r="H34" s="40" t="s">
        <v>138</v>
      </c>
      <c r="I34" s="14">
        <v>30</v>
      </c>
      <c r="J34" s="9"/>
    </row>
    <row r="35" spans="1:10" s="3" customFormat="1" ht="24" x14ac:dyDescent="0.15">
      <c r="A35" s="7">
        <v>31</v>
      </c>
      <c r="B35" s="15">
        <v>2357</v>
      </c>
      <c r="C35" s="17" t="s">
        <v>139</v>
      </c>
      <c r="D35" s="16" t="s">
        <v>140</v>
      </c>
      <c r="E35" s="17" t="s">
        <v>141</v>
      </c>
      <c r="F35" s="17" t="s">
        <v>141</v>
      </c>
      <c r="G35" s="15" t="s">
        <v>49</v>
      </c>
      <c r="H35" s="40" t="s">
        <v>142</v>
      </c>
      <c r="I35" s="14">
        <v>49.9</v>
      </c>
      <c r="J35" s="9"/>
    </row>
    <row r="36" spans="1:10" s="3" customFormat="1" ht="24" x14ac:dyDescent="0.15">
      <c r="A36" s="7">
        <v>32</v>
      </c>
      <c r="B36" s="15">
        <v>2358</v>
      </c>
      <c r="C36" s="17" t="s">
        <v>143</v>
      </c>
      <c r="D36" s="16" t="s">
        <v>144</v>
      </c>
      <c r="E36" s="17" t="s">
        <v>145</v>
      </c>
      <c r="F36" s="17" t="s">
        <v>145</v>
      </c>
      <c r="G36" s="15" t="s">
        <v>49</v>
      </c>
      <c r="H36" s="40" t="s">
        <v>146</v>
      </c>
      <c r="I36" s="14">
        <v>20.8</v>
      </c>
      <c r="J36" s="9"/>
    </row>
    <row r="37" spans="1:10" s="3" customFormat="1" ht="24" x14ac:dyDescent="0.15">
      <c r="A37" s="7">
        <v>33</v>
      </c>
      <c r="B37" s="15">
        <v>2359</v>
      </c>
      <c r="C37" s="17" t="s">
        <v>147</v>
      </c>
      <c r="D37" s="16" t="s">
        <v>148</v>
      </c>
      <c r="E37" s="17" t="s">
        <v>149</v>
      </c>
      <c r="F37" s="17" t="s">
        <v>149</v>
      </c>
      <c r="G37" s="15" t="s">
        <v>49</v>
      </c>
      <c r="H37" s="40" t="s">
        <v>150</v>
      </c>
      <c r="I37" s="14">
        <v>11.7</v>
      </c>
      <c r="J37" s="9"/>
    </row>
    <row r="38" spans="1:10" s="3" customFormat="1" ht="24" x14ac:dyDescent="0.15">
      <c r="A38" s="7">
        <v>34</v>
      </c>
      <c r="B38" s="15">
        <v>2360</v>
      </c>
      <c r="C38" s="17" t="s">
        <v>151</v>
      </c>
      <c r="D38" s="16" t="s">
        <v>152</v>
      </c>
      <c r="E38" s="17" t="s">
        <v>153</v>
      </c>
      <c r="F38" s="17" t="s">
        <v>153</v>
      </c>
      <c r="G38" s="15" t="s">
        <v>49</v>
      </c>
      <c r="H38" s="40" t="s">
        <v>154</v>
      </c>
      <c r="I38" s="14">
        <v>24</v>
      </c>
      <c r="J38" s="9"/>
    </row>
    <row r="39" spans="1:10" s="3" customFormat="1" ht="24" x14ac:dyDescent="0.15">
      <c r="A39" s="7">
        <v>35</v>
      </c>
      <c r="B39" s="15">
        <v>2361</v>
      </c>
      <c r="C39" s="17" t="s">
        <v>155</v>
      </c>
      <c r="D39" s="16" t="s">
        <v>156</v>
      </c>
      <c r="E39" s="17" t="s">
        <v>157</v>
      </c>
      <c r="F39" s="17" t="s">
        <v>157</v>
      </c>
      <c r="G39" s="15" t="s">
        <v>49</v>
      </c>
      <c r="H39" s="40" t="s">
        <v>158</v>
      </c>
      <c r="I39" s="14">
        <v>27.3</v>
      </c>
      <c r="J39" s="9"/>
    </row>
    <row r="40" spans="1:10" s="3" customFormat="1" ht="24" x14ac:dyDescent="0.15">
      <c r="A40" s="7">
        <v>36</v>
      </c>
      <c r="B40" s="15">
        <v>2362</v>
      </c>
      <c r="C40" s="17" t="s">
        <v>159</v>
      </c>
      <c r="D40" s="16" t="s">
        <v>160</v>
      </c>
      <c r="E40" s="17" t="s">
        <v>161</v>
      </c>
      <c r="F40" s="17" t="s">
        <v>161</v>
      </c>
      <c r="G40" s="15" t="s">
        <v>49</v>
      </c>
      <c r="H40" s="44" t="s">
        <v>162</v>
      </c>
      <c r="I40" s="14">
        <v>40</v>
      </c>
      <c r="J40" s="9"/>
    </row>
    <row r="41" spans="1:10" s="3" customFormat="1" ht="24" x14ac:dyDescent="0.15">
      <c r="A41" s="7">
        <v>37</v>
      </c>
      <c r="B41" s="15">
        <v>2363</v>
      </c>
      <c r="C41" s="17" t="s">
        <v>163</v>
      </c>
      <c r="D41" s="43" t="s">
        <v>164</v>
      </c>
      <c r="E41" s="17" t="s">
        <v>165</v>
      </c>
      <c r="F41" s="17" t="s">
        <v>165</v>
      </c>
      <c r="G41" s="15" t="s">
        <v>49</v>
      </c>
      <c r="H41" s="40" t="s">
        <v>166</v>
      </c>
      <c r="I41" s="14">
        <v>25</v>
      </c>
      <c r="J41" s="9"/>
    </row>
    <row r="42" spans="1:10" s="3" customFormat="1" ht="24" x14ac:dyDescent="0.15">
      <c r="A42" s="7">
        <v>38</v>
      </c>
      <c r="B42" s="15">
        <v>2364</v>
      </c>
      <c r="C42" s="17" t="s">
        <v>167</v>
      </c>
      <c r="D42" s="16" t="s">
        <v>168</v>
      </c>
      <c r="E42" s="17" t="s">
        <v>169</v>
      </c>
      <c r="F42" s="17" t="s">
        <v>169</v>
      </c>
      <c r="G42" s="15" t="s">
        <v>49</v>
      </c>
      <c r="H42" s="40" t="s">
        <v>170</v>
      </c>
      <c r="I42" s="14">
        <v>5</v>
      </c>
      <c r="J42" s="9"/>
    </row>
    <row r="43" spans="1:10" s="3" customFormat="1" ht="24" x14ac:dyDescent="0.15">
      <c r="A43" s="7">
        <v>39</v>
      </c>
      <c r="B43" s="15">
        <v>2365</v>
      </c>
      <c r="C43" s="17" t="s">
        <v>171</v>
      </c>
      <c r="D43" s="43" t="s">
        <v>172</v>
      </c>
      <c r="E43" s="17" t="s">
        <v>173</v>
      </c>
      <c r="F43" s="17" t="s">
        <v>174</v>
      </c>
      <c r="G43" s="15" t="s">
        <v>49</v>
      </c>
      <c r="H43" s="40" t="s">
        <v>175</v>
      </c>
      <c r="I43" s="14">
        <v>11</v>
      </c>
      <c r="J43" s="9"/>
    </row>
    <row r="44" spans="1:10" s="3" customFormat="1" ht="24" x14ac:dyDescent="0.15">
      <c r="A44" s="7">
        <v>40</v>
      </c>
      <c r="B44" s="15">
        <v>2366</v>
      </c>
      <c r="C44" s="17" t="s">
        <v>176</v>
      </c>
      <c r="D44" s="43" t="s">
        <v>177</v>
      </c>
      <c r="E44" s="17" t="s">
        <v>173</v>
      </c>
      <c r="F44" s="17" t="s">
        <v>174</v>
      </c>
      <c r="G44" s="15" t="s">
        <v>49</v>
      </c>
      <c r="H44" s="40" t="s">
        <v>178</v>
      </c>
      <c r="I44" s="14">
        <v>9</v>
      </c>
      <c r="J44" s="9"/>
    </row>
    <row r="45" spans="1:10" s="3" customFormat="1" ht="24" x14ac:dyDescent="0.15">
      <c r="A45" s="7">
        <v>41</v>
      </c>
      <c r="B45" s="15">
        <v>2367</v>
      </c>
      <c r="C45" s="17" t="s">
        <v>179</v>
      </c>
      <c r="D45" s="16" t="s">
        <v>180</v>
      </c>
      <c r="E45" s="17" t="s">
        <v>181</v>
      </c>
      <c r="F45" s="17" t="s">
        <v>181</v>
      </c>
      <c r="G45" s="15" t="s">
        <v>49</v>
      </c>
      <c r="H45" s="40" t="s">
        <v>182</v>
      </c>
      <c r="I45" s="14">
        <v>26</v>
      </c>
      <c r="J45" s="9"/>
    </row>
    <row r="46" spans="1:10" s="3" customFormat="1" ht="24" x14ac:dyDescent="0.15">
      <c r="A46" s="7">
        <v>42</v>
      </c>
      <c r="B46" s="15">
        <v>2368</v>
      </c>
      <c r="C46" s="17" t="s">
        <v>183</v>
      </c>
      <c r="D46" s="16" t="s">
        <v>184</v>
      </c>
      <c r="E46" s="17" t="s">
        <v>185</v>
      </c>
      <c r="F46" s="17" t="s">
        <v>185</v>
      </c>
      <c r="G46" s="15" t="s">
        <v>49</v>
      </c>
      <c r="H46" s="40" t="s">
        <v>186</v>
      </c>
      <c r="I46" s="14">
        <v>16.079999999999998</v>
      </c>
      <c r="J46" s="9"/>
    </row>
    <row r="47" spans="1:10" s="3" customFormat="1" ht="24" x14ac:dyDescent="0.15">
      <c r="A47" s="7">
        <v>43</v>
      </c>
      <c r="B47" s="15">
        <v>2369</v>
      </c>
      <c r="C47" s="17" t="s">
        <v>187</v>
      </c>
      <c r="D47" s="16" t="s">
        <v>188</v>
      </c>
      <c r="E47" s="17" t="s">
        <v>189</v>
      </c>
      <c r="F47" s="17" t="s">
        <v>189</v>
      </c>
      <c r="G47" s="15" t="s">
        <v>49</v>
      </c>
      <c r="H47" s="40" t="s">
        <v>190</v>
      </c>
      <c r="I47" s="14">
        <v>5</v>
      </c>
      <c r="J47" s="9"/>
    </row>
    <row r="48" spans="1:10" s="3" customFormat="1" ht="24" x14ac:dyDescent="0.15">
      <c r="A48" s="7">
        <v>44</v>
      </c>
      <c r="B48" s="15">
        <v>2370</v>
      </c>
      <c r="C48" s="17" t="s">
        <v>191</v>
      </c>
      <c r="D48" s="16" t="s">
        <v>192</v>
      </c>
      <c r="E48" s="17" t="s">
        <v>193</v>
      </c>
      <c r="F48" s="17" t="s">
        <v>193</v>
      </c>
      <c r="G48" s="15" t="s">
        <v>49</v>
      </c>
      <c r="H48" s="40" t="s">
        <v>194</v>
      </c>
      <c r="I48" s="14">
        <v>7</v>
      </c>
      <c r="J48" s="9"/>
    </row>
    <row r="49" spans="1:10" s="3" customFormat="1" ht="24" x14ac:dyDescent="0.15">
      <c r="A49" s="7">
        <v>45</v>
      </c>
      <c r="B49" s="15">
        <v>2371</v>
      </c>
      <c r="C49" s="17" t="s">
        <v>195</v>
      </c>
      <c r="D49" s="16" t="s">
        <v>196</v>
      </c>
      <c r="E49" s="17" t="s">
        <v>197</v>
      </c>
      <c r="F49" s="17" t="s">
        <v>197</v>
      </c>
      <c r="G49" s="15" t="s">
        <v>49</v>
      </c>
      <c r="H49" s="40" t="s">
        <v>198</v>
      </c>
      <c r="I49" s="14">
        <v>25</v>
      </c>
      <c r="J49" s="9"/>
    </row>
    <row r="50" spans="1:10" s="3" customFormat="1" ht="24" x14ac:dyDescent="0.15">
      <c r="A50" s="7">
        <v>46</v>
      </c>
      <c r="B50" s="15">
        <v>2372</v>
      </c>
      <c r="C50" s="17" t="s">
        <v>199</v>
      </c>
      <c r="D50" s="43" t="s">
        <v>200</v>
      </c>
      <c r="E50" s="17" t="s">
        <v>201</v>
      </c>
      <c r="F50" s="17" t="s">
        <v>202</v>
      </c>
      <c r="G50" s="15" t="s">
        <v>49</v>
      </c>
      <c r="H50" s="40" t="s">
        <v>203</v>
      </c>
      <c r="I50" s="14">
        <v>55</v>
      </c>
      <c r="J50" s="9"/>
    </row>
    <row r="51" spans="1:10" s="3" customFormat="1" ht="24" x14ac:dyDescent="0.15">
      <c r="A51" s="7">
        <v>47</v>
      </c>
      <c r="B51" s="15">
        <v>2373</v>
      </c>
      <c r="C51" s="42" t="s">
        <v>204</v>
      </c>
      <c r="D51" s="16" t="s">
        <v>205</v>
      </c>
      <c r="E51" s="17" t="s">
        <v>206</v>
      </c>
      <c r="F51" s="17" t="s">
        <v>206</v>
      </c>
      <c r="G51" s="15" t="s">
        <v>49</v>
      </c>
      <c r="H51" s="40" t="s">
        <v>207</v>
      </c>
      <c r="I51" s="14">
        <v>79</v>
      </c>
      <c r="J51" s="9"/>
    </row>
    <row r="52" spans="1:10" s="3" customFormat="1" ht="24" x14ac:dyDescent="0.15">
      <c r="A52" s="7">
        <v>48</v>
      </c>
      <c r="B52" s="15">
        <v>2374</v>
      </c>
      <c r="C52" s="42" t="s">
        <v>208</v>
      </c>
      <c r="D52" s="16" t="s">
        <v>209</v>
      </c>
      <c r="E52" s="17" t="s">
        <v>210</v>
      </c>
      <c r="F52" s="17" t="s">
        <v>210</v>
      </c>
      <c r="G52" s="15" t="s">
        <v>49</v>
      </c>
      <c r="H52" s="40" t="s">
        <v>211</v>
      </c>
      <c r="I52" s="14">
        <v>10</v>
      </c>
      <c r="J52" s="9"/>
    </row>
    <row r="53" spans="1:10" s="3" customFormat="1" ht="24" x14ac:dyDescent="0.15">
      <c r="A53" s="7">
        <v>49</v>
      </c>
      <c r="B53" s="15">
        <v>2375</v>
      </c>
      <c r="C53" s="42" t="s">
        <v>212</v>
      </c>
      <c r="D53" s="43" t="s">
        <v>213</v>
      </c>
      <c r="E53" s="17" t="s">
        <v>214</v>
      </c>
      <c r="F53" s="17" t="s">
        <v>214</v>
      </c>
      <c r="G53" s="15" t="s">
        <v>49</v>
      </c>
      <c r="H53" s="44" t="s">
        <v>215</v>
      </c>
      <c r="I53" s="14">
        <v>25</v>
      </c>
      <c r="J53" s="9"/>
    </row>
    <row r="54" spans="1:10" s="3" customFormat="1" ht="13.5" x14ac:dyDescent="0.15">
      <c r="A54" s="7">
        <v>50</v>
      </c>
      <c r="B54" s="15"/>
      <c r="C54" s="17"/>
      <c r="D54" s="16"/>
      <c r="E54" s="17"/>
      <c r="F54" s="17"/>
      <c r="G54" s="15"/>
      <c r="H54" s="40"/>
      <c r="I54" s="14"/>
      <c r="J54" s="9"/>
    </row>
    <row r="55" spans="1:10" s="3" customFormat="1" ht="13.5" x14ac:dyDescent="0.15">
      <c r="A55" s="7">
        <v>51</v>
      </c>
      <c r="B55" s="15"/>
      <c r="C55" s="17"/>
      <c r="D55" s="16"/>
      <c r="E55" s="17"/>
      <c r="F55" s="17"/>
      <c r="G55" s="15"/>
      <c r="H55" s="40"/>
      <c r="I55" s="14"/>
      <c r="J55" s="9"/>
    </row>
    <row r="56" spans="1:10" s="3" customFormat="1" ht="13.5" x14ac:dyDescent="0.15">
      <c r="A56" s="7">
        <v>52</v>
      </c>
      <c r="B56" s="15"/>
      <c r="C56" s="17"/>
      <c r="D56" s="16"/>
      <c r="E56" s="17"/>
      <c r="F56" s="17"/>
      <c r="G56" s="15"/>
      <c r="H56" s="40"/>
      <c r="I56" s="14"/>
      <c r="J56" s="9"/>
    </row>
    <row r="57" spans="1:10" s="3" customFormat="1" ht="13.5" x14ac:dyDescent="0.15">
      <c r="A57" s="7">
        <v>53</v>
      </c>
      <c r="B57" s="15"/>
      <c r="C57" s="17"/>
      <c r="D57" s="16"/>
      <c r="E57" s="17"/>
      <c r="F57" s="17"/>
      <c r="G57" s="17"/>
      <c r="H57" s="15"/>
      <c r="I57" s="40"/>
      <c r="J57" s="9"/>
    </row>
    <row r="58" spans="1:10" s="3" customFormat="1" ht="13.5" x14ac:dyDescent="0.15">
      <c r="A58" s="7"/>
      <c r="B58" s="8"/>
      <c r="C58" s="9"/>
      <c r="D58" s="10"/>
      <c r="E58" s="9"/>
      <c r="F58" s="9"/>
      <c r="G58" s="10"/>
      <c r="H58" s="23"/>
      <c r="I58" s="11"/>
      <c r="J58" s="9"/>
    </row>
    <row r="59" spans="1:10" s="3" customFormat="1" ht="22.5" customHeight="1" x14ac:dyDescent="0.15">
      <c r="A59" s="7"/>
      <c r="B59" s="8"/>
      <c r="C59" s="9"/>
      <c r="D59" s="11"/>
      <c r="E59" s="11"/>
      <c r="F59" s="11"/>
      <c r="G59" s="10"/>
      <c r="H59" s="12"/>
      <c r="I59" s="11"/>
      <c r="J59" s="9"/>
    </row>
    <row r="60" spans="1:10" s="3" customFormat="1" ht="22.5" customHeight="1" x14ac:dyDescent="0.15">
      <c r="A60" s="7"/>
      <c r="B60" s="14" t="s">
        <v>216</v>
      </c>
      <c r="C60" s="9" t="s">
        <v>217</v>
      </c>
      <c r="D60" s="11">
        <v>1</v>
      </c>
      <c r="E60" s="11">
        <f>COUNTIF(G:G,C60)</f>
        <v>0</v>
      </c>
      <c r="F60" s="11">
        <f t="shared" ref="F60:F68" si="0">D60+E60</f>
        <v>1</v>
      </c>
      <c r="G60" s="10"/>
      <c r="H60" s="12"/>
      <c r="I60" s="11"/>
      <c r="J60" s="9"/>
    </row>
    <row r="61" spans="1:10" ht="22.5" customHeight="1" x14ac:dyDescent="0.15">
      <c r="A61" s="6"/>
      <c r="B61" s="14" t="s">
        <v>216</v>
      </c>
      <c r="C61" s="9" t="s">
        <v>218</v>
      </c>
      <c r="D61" s="9">
        <v>965</v>
      </c>
      <c r="E61" s="11">
        <f>COUNTIF(G:G,C61)</f>
        <v>0</v>
      </c>
      <c r="F61" s="11">
        <f t="shared" si="0"/>
        <v>965</v>
      </c>
      <c r="G61" s="9"/>
      <c r="H61" s="9"/>
      <c r="I61" s="9"/>
      <c r="J61" s="16"/>
    </row>
    <row r="62" spans="1:10" ht="22.5" customHeight="1" x14ac:dyDescent="0.15">
      <c r="A62" s="6"/>
      <c r="B62" s="14" t="s">
        <v>216</v>
      </c>
      <c r="C62" s="8" t="s">
        <v>219</v>
      </c>
      <c r="D62" s="10">
        <v>402</v>
      </c>
      <c r="E62" s="11">
        <f>COUNTIF(G:G,C62)</f>
        <v>0</v>
      </c>
      <c r="F62" s="11">
        <f t="shared" si="0"/>
        <v>402</v>
      </c>
      <c r="G62" s="9"/>
      <c r="H62" s="9"/>
      <c r="I62" s="9"/>
      <c r="J62" s="16"/>
    </row>
    <row r="63" spans="1:10" ht="22.5" customHeight="1" x14ac:dyDescent="0.15">
      <c r="A63" s="6"/>
      <c r="B63" s="14" t="s">
        <v>216</v>
      </c>
      <c r="C63" s="8" t="s">
        <v>220</v>
      </c>
      <c r="D63" s="10">
        <v>82</v>
      </c>
      <c r="E63" s="11">
        <f>COUNTIF(G:G,"再就业")+COUNTIF(G:G,"小贷")</f>
        <v>0</v>
      </c>
      <c r="F63" s="11">
        <f t="shared" si="0"/>
        <v>82</v>
      </c>
      <c r="G63" s="10"/>
      <c r="H63" s="10"/>
      <c r="I63" s="11"/>
      <c r="J63" s="16"/>
    </row>
    <row r="64" spans="1:10" ht="22.5" customHeight="1" x14ac:dyDescent="0.15">
      <c r="A64" s="6"/>
      <c r="B64" s="14" t="s">
        <v>216</v>
      </c>
      <c r="C64" s="8" t="s">
        <v>221</v>
      </c>
      <c r="D64" s="10">
        <v>1</v>
      </c>
      <c r="E64" s="11">
        <f>COUNTIF(G:G,C64)</f>
        <v>0</v>
      </c>
      <c r="F64" s="11">
        <f t="shared" si="0"/>
        <v>1</v>
      </c>
      <c r="G64" s="10"/>
      <c r="H64" s="10"/>
      <c r="I64" s="11"/>
      <c r="J64" s="16"/>
    </row>
    <row r="65" spans="1:11" ht="22.5" customHeight="1" x14ac:dyDescent="0.15">
      <c r="A65" s="6"/>
      <c r="B65" s="14" t="s">
        <v>216</v>
      </c>
      <c r="C65" s="8" t="s">
        <v>16</v>
      </c>
      <c r="D65" s="10">
        <v>614</v>
      </c>
      <c r="E65" s="11">
        <f>COUNTIF(G:G,C65)</f>
        <v>1</v>
      </c>
      <c r="F65" s="11">
        <f t="shared" si="0"/>
        <v>615</v>
      </c>
      <c r="G65" s="10"/>
      <c r="H65" s="10"/>
      <c r="I65" s="11"/>
      <c r="J65" s="16"/>
    </row>
    <row r="66" spans="1:11" ht="22.5" customHeight="1" x14ac:dyDescent="0.15">
      <c r="A66" s="6"/>
      <c r="B66" s="14" t="s">
        <v>216</v>
      </c>
      <c r="C66" s="8" t="s">
        <v>49</v>
      </c>
      <c r="D66" s="10">
        <v>996</v>
      </c>
      <c r="E66" s="11">
        <f>COUNTIF(G:G,"*车*")</f>
        <v>42</v>
      </c>
      <c r="F66" s="11">
        <f t="shared" si="0"/>
        <v>1038</v>
      </c>
      <c r="G66" s="10"/>
      <c r="H66" s="10"/>
      <c r="I66" s="11"/>
      <c r="J66" s="16"/>
    </row>
    <row r="67" spans="1:11" ht="22.5" customHeight="1" x14ac:dyDescent="0.15">
      <c r="A67" s="6"/>
      <c r="B67" s="14" t="s">
        <v>216</v>
      </c>
      <c r="C67" s="8" t="s">
        <v>21</v>
      </c>
      <c r="D67" s="10">
        <v>4468</v>
      </c>
      <c r="E67" s="11">
        <f>COUNTIF(G:G,C67)</f>
        <v>6</v>
      </c>
      <c r="F67" s="11">
        <f t="shared" si="0"/>
        <v>4474</v>
      </c>
      <c r="G67" s="10"/>
      <c r="H67" s="10"/>
      <c r="I67" s="11"/>
      <c r="J67" s="16"/>
    </row>
    <row r="68" spans="1:11" ht="22.5" customHeight="1" x14ac:dyDescent="0.15">
      <c r="A68" s="6"/>
      <c r="B68" s="14" t="s">
        <v>216</v>
      </c>
      <c r="C68" s="15" t="s">
        <v>222</v>
      </c>
      <c r="D68" s="16">
        <v>42</v>
      </c>
      <c r="E68" s="11">
        <f>COUNTIF(G:G,C68)</f>
        <v>0</v>
      </c>
      <c r="F68" s="11">
        <f t="shared" si="0"/>
        <v>42</v>
      </c>
      <c r="G68" s="16"/>
      <c r="H68" s="16"/>
      <c r="I68" s="14"/>
      <c r="J68" s="16"/>
    </row>
    <row r="69" spans="1:11" ht="22.5" customHeight="1" x14ac:dyDescent="0.15">
      <c r="A69" s="24"/>
      <c r="B69" s="24"/>
      <c r="C69" s="25"/>
      <c r="D69" s="26">
        <f t="shared" ref="D69:F69" si="1">SUM(D60:D68)</f>
        <v>7571</v>
      </c>
      <c r="E69" s="26">
        <f t="shared" si="1"/>
        <v>49</v>
      </c>
      <c r="F69" s="26">
        <f t="shared" si="1"/>
        <v>7620</v>
      </c>
      <c r="G69" s="19"/>
      <c r="H69" s="19"/>
      <c r="I69" s="18"/>
      <c r="J69" s="18"/>
    </row>
    <row r="70" spans="1:11" ht="39.950000000000003" customHeight="1" x14ac:dyDescent="0.15">
      <c r="A70" s="55" t="s">
        <v>223</v>
      </c>
      <c r="B70" s="55"/>
      <c r="C70" s="56"/>
      <c r="D70" s="55"/>
      <c r="E70" s="55"/>
      <c r="F70" s="57"/>
      <c r="G70" s="21"/>
      <c r="H70" s="22"/>
      <c r="I70" s="22"/>
      <c r="J70" s="22"/>
    </row>
    <row r="71" spans="1:11" ht="36.950000000000003" customHeight="1" x14ac:dyDescent="0.15">
      <c r="A71" s="58" t="s">
        <v>224</v>
      </c>
      <c r="B71" s="58"/>
      <c r="C71" s="27"/>
      <c r="D71" s="59" t="s">
        <v>225</v>
      </c>
      <c r="E71" s="57"/>
      <c r="F71" s="28"/>
      <c r="G71" s="21"/>
      <c r="H71" s="22"/>
      <c r="I71" s="22"/>
      <c r="J71" s="22"/>
    </row>
    <row r="72" spans="1:11" ht="36" customHeight="1" x14ac:dyDescent="0.15">
      <c r="A72" s="58" t="s">
        <v>226</v>
      </c>
      <c r="B72" s="58"/>
      <c r="C72" s="29"/>
      <c r="D72" s="59" t="s">
        <v>225</v>
      </c>
      <c r="E72" s="57"/>
      <c r="F72" s="30"/>
      <c r="G72" s="21"/>
      <c r="H72" s="22"/>
      <c r="I72" s="22"/>
      <c r="J72" s="22"/>
    </row>
    <row r="73" spans="1:11" ht="27" customHeight="1" x14ac:dyDescent="0.15">
      <c r="A73" s="58" t="s">
        <v>227</v>
      </c>
      <c r="B73" s="58"/>
      <c r="C73" s="29"/>
      <c r="D73" s="60" t="s">
        <v>225</v>
      </c>
      <c r="E73" s="61"/>
      <c r="F73" s="31"/>
      <c r="G73" s="32"/>
      <c r="H73" s="33"/>
      <c r="I73" s="33"/>
      <c r="J73" s="33"/>
    </row>
    <row r="74" spans="1:11" ht="30" customHeight="1" x14ac:dyDescent="0.15">
      <c r="A74" s="58" t="s">
        <v>227</v>
      </c>
      <c r="B74" s="58"/>
      <c r="C74" s="34"/>
      <c r="D74" s="60" t="s">
        <v>225</v>
      </c>
      <c r="E74" s="60"/>
      <c r="F74" s="6"/>
      <c r="G74" s="6"/>
      <c r="H74" s="5"/>
      <c r="I74" s="5"/>
      <c r="J74" s="35"/>
      <c r="K74" s="36"/>
    </row>
    <row r="75" spans="1:11" ht="22.5" customHeight="1" x14ac:dyDescent="0.15"/>
    <row r="109" spans="1:10" ht="13.5" x14ac:dyDescent="0.15">
      <c r="A109" s="62"/>
      <c r="B109" s="62"/>
      <c r="C109" s="63"/>
      <c r="D109" s="63"/>
      <c r="E109" s="63"/>
      <c r="F109" s="63"/>
      <c r="G109" s="63"/>
      <c r="H109" s="63"/>
      <c r="I109" s="63"/>
      <c r="J109" s="63"/>
    </row>
    <row r="110" spans="1:10" ht="13.5" x14ac:dyDescent="0.15">
      <c r="A110" s="62"/>
      <c r="B110" s="62"/>
      <c r="C110" s="63"/>
      <c r="D110" s="63"/>
      <c r="E110" s="63"/>
      <c r="F110" s="63"/>
      <c r="G110" s="63"/>
      <c r="H110" s="63"/>
      <c r="I110" s="63"/>
      <c r="J110" s="63"/>
    </row>
    <row r="111" spans="1:10" ht="13.5" x14ac:dyDescent="0.15">
      <c r="A111" s="62"/>
      <c r="B111" s="62"/>
      <c r="C111" s="63"/>
      <c r="D111" s="63"/>
      <c r="E111" s="63"/>
      <c r="F111" s="63"/>
      <c r="G111" s="63"/>
      <c r="H111" s="63"/>
      <c r="I111" s="63"/>
      <c r="J111" s="63"/>
    </row>
    <row r="112" spans="1:10" ht="13.5" x14ac:dyDescent="0.15">
      <c r="A112" s="62"/>
      <c r="B112" s="62"/>
      <c r="C112" s="63"/>
      <c r="D112" s="63"/>
      <c r="E112" s="63"/>
      <c r="F112" s="63"/>
      <c r="G112" s="63"/>
      <c r="H112" s="63"/>
      <c r="I112" s="63"/>
      <c r="J112" s="63"/>
    </row>
    <row r="113" spans="1:10" ht="13.5" x14ac:dyDescent="0.15">
      <c r="A113" s="62"/>
      <c r="B113" s="62"/>
      <c r="C113" s="63"/>
      <c r="D113" s="63"/>
      <c r="E113" s="63"/>
      <c r="F113" s="63"/>
      <c r="G113" s="63"/>
      <c r="H113" s="63"/>
      <c r="I113" s="63"/>
      <c r="J113" s="63"/>
    </row>
    <row r="114" spans="1:10" ht="13.5" x14ac:dyDescent="0.15">
      <c r="A114" s="62"/>
      <c r="B114" s="62"/>
      <c r="C114" s="63"/>
      <c r="D114" s="63"/>
      <c r="E114" s="63"/>
      <c r="F114" s="63"/>
      <c r="G114" s="63"/>
      <c r="H114" s="63"/>
      <c r="I114" s="63"/>
      <c r="J114" s="63"/>
    </row>
    <row r="115" spans="1:10" ht="13.5" x14ac:dyDescent="0.15">
      <c r="A115" s="62"/>
      <c r="B115" s="62"/>
      <c r="C115" s="63"/>
      <c r="D115" s="63"/>
      <c r="E115" s="63"/>
      <c r="F115" s="63"/>
      <c r="G115" s="63"/>
      <c r="H115" s="63"/>
      <c r="I115" s="63"/>
      <c r="J115" s="63"/>
    </row>
    <row r="116" spans="1:10" ht="13.5" x14ac:dyDescent="0.15">
      <c r="A116" s="62"/>
      <c r="B116" s="62"/>
      <c r="C116" s="63"/>
      <c r="D116" s="63"/>
      <c r="E116" s="63"/>
      <c r="F116" s="63"/>
      <c r="G116" s="63"/>
      <c r="H116" s="63"/>
      <c r="I116" s="63"/>
      <c r="J116" s="63"/>
    </row>
    <row r="117" spans="1:10" ht="13.5" x14ac:dyDescent="0.15">
      <c r="A117" s="62"/>
      <c r="B117" s="62"/>
      <c r="C117" s="63"/>
      <c r="D117" s="63"/>
      <c r="E117" s="62"/>
      <c r="F117" s="63"/>
      <c r="G117" s="63"/>
      <c r="H117" s="62"/>
      <c r="I117" s="62"/>
      <c r="J117" s="62"/>
    </row>
  </sheetData>
  <autoFilter ref="B4:I57" xr:uid="{00000000-0009-0000-0000-000000000000}"/>
  <mergeCells count="18">
    <mergeCell ref="A117:J117"/>
    <mergeCell ref="A109:B116"/>
    <mergeCell ref="C109:J110"/>
    <mergeCell ref="C111:J112"/>
    <mergeCell ref="C113:J114"/>
    <mergeCell ref="C115:J116"/>
    <mergeCell ref="A72:B72"/>
    <mergeCell ref="D72:E72"/>
    <mergeCell ref="A73:B73"/>
    <mergeCell ref="D73:E73"/>
    <mergeCell ref="A74:B74"/>
    <mergeCell ref="D74:E74"/>
    <mergeCell ref="A1:J1"/>
    <mergeCell ref="A2:J2"/>
    <mergeCell ref="A3:J3"/>
    <mergeCell ref="A70:F70"/>
    <mergeCell ref="A71:B71"/>
    <mergeCell ref="D71:E71"/>
  </mergeCells>
  <phoneticPr fontId="11" type="noConversion"/>
  <dataValidations count="1">
    <dataValidation type="list" allowBlank="1" showInputMessage="1" showErrorMessage="1" sqref="J61:J65 J66:J68" xr:uid="{00000000-0002-0000-0000-000000000000}">
      <formula1>$U$2:$U$3</formula1>
    </dataValidation>
  </dataValidations>
  <pageMargins left="0.70069444444444495" right="0.70069444444444495" top="0.75138888888888899" bottom="0.75138888888888899" header="0.29861111111111099" footer="0.29861111111111099"/>
  <pageSetup paperSize="9" scale="79" fitToHeight="0" orientation="portrait" r:id="rId1"/>
  <headerFooter>
    <oddFooter>&amp;C第 &amp;P 页，共 &amp;N 页</oddFooter>
  </headerFooter>
  <rowBreaks count="1" manualBreakCount="1">
    <brk id="59" max="9" man="1"/>
  </rowBreaks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48"/>
  <sheetViews>
    <sheetView view="pageBreakPreview" zoomScale="130" zoomScaleNormal="130" workbookViewId="0">
      <pane ySplit="4" topLeftCell="A80" activePane="bottomLeft" state="frozen"/>
      <selection pane="bottomLeft" activeCell="B88" sqref="B88"/>
    </sheetView>
  </sheetViews>
  <sheetFormatPr defaultColWidth="9" defaultRowHeight="23.25" customHeight="1" x14ac:dyDescent="0.15"/>
  <cols>
    <col min="1" max="1" width="5.875" style="2" customWidth="1"/>
    <col min="2" max="2" width="7.625" style="2" customWidth="1"/>
    <col min="3" max="3" width="13" style="4" customWidth="1"/>
    <col min="4" max="4" width="13.25" style="4" customWidth="1"/>
    <col min="5" max="5" width="14.375" style="2" customWidth="1"/>
    <col min="6" max="6" width="11.5" style="4"/>
    <col min="7" max="7" width="8.125" style="4" customWidth="1"/>
    <col min="8" max="8" width="18.125" style="2" customWidth="1"/>
    <col min="9" max="9" width="13.12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9" t="s">
        <v>9</v>
      </c>
      <c r="H4" s="38" t="s">
        <v>10</v>
      </c>
      <c r="I4" s="38" t="s">
        <v>11</v>
      </c>
      <c r="J4" s="37" t="s">
        <v>12</v>
      </c>
    </row>
    <row r="5" spans="1:10" s="3" customFormat="1" ht="30" customHeight="1" x14ac:dyDescent="0.15">
      <c r="A5" s="7">
        <v>1</v>
      </c>
      <c r="B5" s="15">
        <v>4734</v>
      </c>
      <c r="C5" s="42" t="s">
        <v>228</v>
      </c>
      <c r="D5" s="43" t="s">
        <v>229</v>
      </c>
      <c r="E5" s="17" t="s">
        <v>230</v>
      </c>
      <c r="F5" s="17" t="s">
        <v>230</v>
      </c>
      <c r="G5" s="15" t="s">
        <v>16</v>
      </c>
      <c r="H5" s="40" t="s">
        <v>231</v>
      </c>
      <c r="I5" s="16">
        <v>86</v>
      </c>
      <c r="J5" s="9"/>
    </row>
    <row r="6" spans="1:10" s="3" customFormat="1" ht="24" x14ac:dyDescent="0.15">
      <c r="A6" s="7">
        <v>2</v>
      </c>
      <c r="B6" s="15">
        <v>4735</v>
      </c>
      <c r="C6" s="42" t="s">
        <v>232</v>
      </c>
      <c r="D6" s="16" t="s">
        <v>233</v>
      </c>
      <c r="E6" s="17" t="s">
        <v>234</v>
      </c>
      <c r="F6" s="17" t="s">
        <v>235</v>
      </c>
      <c r="G6" s="15" t="s">
        <v>16</v>
      </c>
      <c r="H6" s="40" t="s">
        <v>236</v>
      </c>
      <c r="I6" s="14">
        <v>64</v>
      </c>
      <c r="J6" s="9"/>
    </row>
    <row r="7" spans="1:10" s="3" customFormat="1" ht="24" x14ac:dyDescent="0.15">
      <c r="A7" s="7">
        <v>3</v>
      </c>
      <c r="B7" s="15">
        <v>15098</v>
      </c>
      <c r="C7" s="42" t="s">
        <v>237</v>
      </c>
      <c r="D7" s="16" t="s">
        <v>238</v>
      </c>
      <c r="E7" s="17" t="s">
        <v>239</v>
      </c>
      <c r="F7" s="17" t="s">
        <v>240</v>
      </c>
      <c r="G7" s="15" t="s">
        <v>21</v>
      </c>
      <c r="H7" s="40" t="s">
        <v>241</v>
      </c>
      <c r="I7" s="14">
        <v>75</v>
      </c>
      <c r="J7" s="9"/>
    </row>
    <row r="8" spans="1:10" s="3" customFormat="1" ht="24" x14ac:dyDescent="0.15">
      <c r="A8" s="7">
        <v>4</v>
      </c>
      <c r="B8" s="15">
        <v>15099</v>
      </c>
      <c r="C8" s="42" t="s">
        <v>242</v>
      </c>
      <c r="D8" s="16" t="s">
        <v>243</v>
      </c>
      <c r="E8" s="17" t="s">
        <v>244</v>
      </c>
      <c r="F8" s="17" t="s">
        <v>245</v>
      </c>
      <c r="G8" s="15" t="s">
        <v>21</v>
      </c>
      <c r="H8" s="40" t="s">
        <v>246</v>
      </c>
      <c r="I8" s="14">
        <v>74</v>
      </c>
      <c r="J8" s="9"/>
    </row>
    <row r="9" spans="1:10" s="3" customFormat="1" ht="24" x14ac:dyDescent="0.15">
      <c r="A9" s="7">
        <v>5</v>
      </c>
      <c r="B9" s="15">
        <v>2254</v>
      </c>
      <c r="C9" s="42" t="s">
        <v>247</v>
      </c>
      <c r="D9" s="43" t="s">
        <v>248</v>
      </c>
      <c r="E9" s="17" t="s">
        <v>249</v>
      </c>
      <c r="F9" s="17" t="s">
        <v>249</v>
      </c>
      <c r="G9" s="15" t="s">
        <v>250</v>
      </c>
      <c r="H9" s="40" t="s">
        <v>251</v>
      </c>
      <c r="I9" s="14">
        <v>7.1</v>
      </c>
      <c r="J9" s="9"/>
    </row>
    <row r="10" spans="1:10" s="3" customFormat="1" ht="24" x14ac:dyDescent="0.15">
      <c r="A10" s="7">
        <v>6</v>
      </c>
      <c r="B10" s="15">
        <v>2255</v>
      </c>
      <c r="C10" s="42" t="s">
        <v>252</v>
      </c>
      <c r="D10" s="16" t="s">
        <v>253</v>
      </c>
      <c r="E10" s="17" t="s">
        <v>254</v>
      </c>
      <c r="F10" s="17" t="s">
        <v>254</v>
      </c>
      <c r="G10" s="15" t="s">
        <v>250</v>
      </c>
      <c r="H10" s="40" t="s">
        <v>255</v>
      </c>
      <c r="I10" s="14">
        <v>7</v>
      </c>
      <c r="J10" s="9"/>
    </row>
    <row r="11" spans="1:10" s="3" customFormat="1" ht="24" x14ac:dyDescent="0.15">
      <c r="A11" s="7">
        <v>7</v>
      </c>
      <c r="B11" s="15">
        <v>2256</v>
      </c>
      <c r="C11" s="42" t="s">
        <v>256</v>
      </c>
      <c r="D11" s="16" t="s">
        <v>257</v>
      </c>
      <c r="E11" s="17" t="s">
        <v>258</v>
      </c>
      <c r="F11" s="17" t="s">
        <v>258</v>
      </c>
      <c r="G11" s="15" t="s">
        <v>250</v>
      </c>
      <c r="H11" s="44" t="s">
        <v>259</v>
      </c>
      <c r="I11" s="14">
        <v>10</v>
      </c>
      <c r="J11" s="9"/>
    </row>
    <row r="12" spans="1:10" s="3" customFormat="1" ht="24" x14ac:dyDescent="0.15">
      <c r="A12" s="7">
        <v>8</v>
      </c>
      <c r="B12" s="15">
        <v>2257</v>
      </c>
      <c r="C12" s="17" t="s">
        <v>260</v>
      </c>
      <c r="D12" s="43" t="s">
        <v>261</v>
      </c>
      <c r="E12" s="17" t="s">
        <v>262</v>
      </c>
      <c r="F12" s="17" t="s">
        <v>262</v>
      </c>
      <c r="G12" s="15" t="s">
        <v>263</v>
      </c>
      <c r="H12" s="40" t="s">
        <v>264</v>
      </c>
      <c r="I12" s="14">
        <v>28</v>
      </c>
      <c r="J12" s="9"/>
    </row>
    <row r="13" spans="1:10" s="3" customFormat="1" ht="24" x14ac:dyDescent="0.15">
      <c r="A13" s="7">
        <v>9</v>
      </c>
      <c r="B13" s="15">
        <v>2258</v>
      </c>
      <c r="C13" s="17" t="s">
        <v>265</v>
      </c>
      <c r="D13" s="43" t="s">
        <v>266</v>
      </c>
      <c r="E13" s="17" t="s">
        <v>267</v>
      </c>
      <c r="F13" s="17" t="s">
        <v>267</v>
      </c>
      <c r="G13" s="15" t="s">
        <v>263</v>
      </c>
      <c r="H13" s="44" t="s">
        <v>268</v>
      </c>
      <c r="I13" s="14">
        <v>21.5</v>
      </c>
      <c r="J13" s="9"/>
    </row>
    <row r="14" spans="1:10" s="3" customFormat="1" ht="24" x14ac:dyDescent="0.15">
      <c r="A14" s="7">
        <v>10</v>
      </c>
      <c r="B14" s="15">
        <v>2259</v>
      </c>
      <c r="C14" s="42" t="s">
        <v>269</v>
      </c>
      <c r="D14" s="16" t="s">
        <v>270</v>
      </c>
      <c r="E14" s="17" t="s">
        <v>271</v>
      </c>
      <c r="F14" s="17" t="s">
        <v>271</v>
      </c>
      <c r="G14" s="15" t="s">
        <v>250</v>
      </c>
      <c r="H14" s="40" t="s">
        <v>272</v>
      </c>
      <c r="I14" s="14">
        <v>24</v>
      </c>
      <c r="J14" s="9"/>
    </row>
    <row r="15" spans="1:10" s="3" customFormat="1" ht="24" x14ac:dyDescent="0.15">
      <c r="A15" s="7">
        <v>11</v>
      </c>
      <c r="B15" s="15">
        <v>2260</v>
      </c>
      <c r="C15" s="17" t="s">
        <v>273</v>
      </c>
      <c r="D15" s="43" t="s">
        <v>274</v>
      </c>
      <c r="E15" s="17" t="s">
        <v>275</v>
      </c>
      <c r="F15" s="17" t="s">
        <v>275</v>
      </c>
      <c r="G15" s="15" t="s">
        <v>250</v>
      </c>
      <c r="H15" s="40" t="s">
        <v>276</v>
      </c>
      <c r="I15" s="14">
        <v>10</v>
      </c>
      <c r="J15" s="9"/>
    </row>
    <row r="16" spans="1:10" s="3" customFormat="1" ht="24" x14ac:dyDescent="0.15">
      <c r="A16" s="7">
        <v>12</v>
      </c>
      <c r="B16" s="15">
        <v>2261</v>
      </c>
      <c r="C16" s="17" t="s">
        <v>277</v>
      </c>
      <c r="D16" s="16" t="s">
        <v>278</v>
      </c>
      <c r="E16" s="17" t="s">
        <v>279</v>
      </c>
      <c r="F16" s="17" t="s">
        <v>279</v>
      </c>
      <c r="G16" s="15" t="s">
        <v>250</v>
      </c>
      <c r="H16" s="40" t="s">
        <v>280</v>
      </c>
      <c r="I16" s="14">
        <v>27.7</v>
      </c>
      <c r="J16" s="9"/>
    </row>
    <row r="17" spans="1:10" s="3" customFormat="1" ht="24" x14ac:dyDescent="0.15">
      <c r="A17" s="7">
        <v>13</v>
      </c>
      <c r="B17" s="15">
        <v>2262</v>
      </c>
      <c r="C17" s="17" t="s">
        <v>281</v>
      </c>
      <c r="D17" s="16" t="s">
        <v>282</v>
      </c>
      <c r="E17" s="17" t="s">
        <v>283</v>
      </c>
      <c r="F17" s="17" t="s">
        <v>283</v>
      </c>
      <c r="G17" s="15" t="s">
        <v>250</v>
      </c>
      <c r="H17" s="40" t="s">
        <v>284</v>
      </c>
      <c r="I17" s="14">
        <v>22.8</v>
      </c>
      <c r="J17" s="9"/>
    </row>
    <row r="18" spans="1:10" s="3" customFormat="1" ht="24" x14ac:dyDescent="0.15">
      <c r="A18" s="7">
        <v>14</v>
      </c>
      <c r="B18" s="15">
        <v>2263</v>
      </c>
      <c r="C18" s="17" t="s">
        <v>285</v>
      </c>
      <c r="D18" s="16" t="s">
        <v>286</v>
      </c>
      <c r="E18" s="17" t="s">
        <v>287</v>
      </c>
      <c r="F18" s="17" t="s">
        <v>287</v>
      </c>
      <c r="G18" s="15" t="s">
        <v>263</v>
      </c>
      <c r="H18" s="40" t="s">
        <v>288</v>
      </c>
      <c r="I18" s="14">
        <v>19</v>
      </c>
      <c r="J18" s="9"/>
    </row>
    <row r="19" spans="1:10" s="3" customFormat="1" ht="24" x14ac:dyDescent="0.15">
      <c r="A19" s="7">
        <v>15</v>
      </c>
      <c r="B19" s="15">
        <v>2264</v>
      </c>
      <c r="C19" s="17" t="s">
        <v>289</v>
      </c>
      <c r="D19" s="43" t="s">
        <v>290</v>
      </c>
      <c r="E19" s="17" t="s">
        <v>291</v>
      </c>
      <c r="F19" s="17" t="s">
        <v>291</v>
      </c>
      <c r="G19" s="15" t="s">
        <v>250</v>
      </c>
      <c r="H19" s="40" t="s">
        <v>292</v>
      </c>
      <c r="I19" s="14">
        <v>5</v>
      </c>
      <c r="J19" s="9"/>
    </row>
    <row r="20" spans="1:10" s="3" customFormat="1" ht="36" x14ac:dyDescent="0.15">
      <c r="A20" s="7">
        <v>16</v>
      </c>
      <c r="B20" s="15">
        <v>2265</v>
      </c>
      <c r="C20" s="42" t="s">
        <v>293</v>
      </c>
      <c r="D20" s="16" t="s">
        <v>294</v>
      </c>
      <c r="E20" s="17" t="s">
        <v>295</v>
      </c>
      <c r="F20" s="17" t="s">
        <v>296</v>
      </c>
      <c r="G20" s="15" t="s">
        <v>250</v>
      </c>
      <c r="H20" s="40" t="s">
        <v>297</v>
      </c>
      <c r="I20" s="14">
        <v>48</v>
      </c>
      <c r="J20" s="9"/>
    </row>
    <row r="21" spans="1:10" s="3" customFormat="1" ht="24" x14ac:dyDescent="0.15">
      <c r="A21" s="7">
        <v>17</v>
      </c>
      <c r="B21" s="15">
        <v>2266</v>
      </c>
      <c r="C21" s="17" t="s">
        <v>298</v>
      </c>
      <c r="D21" s="16" t="s">
        <v>299</v>
      </c>
      <c r="E21" s="17" t="s">
        <v>300</v>
      </c>
      <c r="F21" s="17" t="s">
        <v>300</v>
      </c>
      <c r="G21" s="15" t="s">
        <v>250</v>
      </c>
      <c r="H21" s="40" t="s">
        <v>301</v>
      </c>
      <c r="I21" s="14">
        <v>24</v>
      </c>
      <c r="J21" s="9"/>
    </row>
    <row r="22" spans="1:10" s="3" customFormat="1" ht="24" x14ac:dyDescent="0.15">
      <c r="A22" s="7">
        <v>18</v>
      </c>
      <c r="B22" s="15">
        <v>2267</v>
      </c>
      <c r="C22" s="17" t="s">
        <v>302</v>
      </c>
      <c r="D22" s="16" t="s">
        <v>303</v>
      </c>
      <c r="E22" s="17" t="s">
        <v>304</v>
      </c>
      <c r="F22" s="17" t="s">
        <v>304</v>
      </c>
      <c r="G22" s="15" t="s">
        <v>250</v>
      </c>
      <c r="H22" s="40" t="s">
        <v>305</v>
      </c>
      <c r="I22" s="14">
        <v>10.199999999999999</v>
      </c>
      <c r="J22" s="9"/>
    </row>
    <row r="23" spans="1:10" s="3" customFormat="1" ht="24" x14ac:dyDescent="0.15">
      <c r="A23" s="7">
        <v>19</v>
      </c>
      <c r="B23" s="15">
        <v>2268</v>
      </c>
      <c r="C23" s="17" t="s">
        <v>306</v>
      </c>
      <c r="D23" s="16" t="s">
        <v>307</v>
      </c>
      <c r="E23" s="17" t="s">
        <v>308</v>
      </c>
      <c r="F23" s="17" t="s">
        <v>308</v>
      </c>
      <c r="G23" s="15" t="s">
        <v>250</v>
      </c>
      <c r="H23" s="40" t="s">
        <v>309</v>
      </c>
      <c r="I23" s="14">
        <v>5</v>
      </c>
      <c r="J23" s="9"/>
    </row>
    <row r="24" spans="1:10" s="3" customFormat="1" ht="24" x14ac:dyDescent="0.15">
      <c r="A24" s="7">
        <v>20</v>
      </c>
      <c r="B24" s="15">
        <v>2269</v>
      </c>
      <c r="C24" s="17" t="s">
        <v>310</v>
      </c>
      <c r="D24" s="43" t="s">
        <v>311</v>
      </c>
      <c r="E24" s="17" t="s">
        <v>312</v>
      </c>
      <c r="F24" s="17" t="s">
        <v>312</v>
      </c>
      <c r="G24" s="16" t="s">
        <v>263</v>
      </c>
      <c r="H24" s="17" t="s">
        <v>313</v>
      </c>
      <c r="I24" s="14">
        <v>15</v>
      </c>
      <c r="J24" s="9"/>
    </row>
    <row r="25" spans="1:10" s="3" customFormat="1" ht="24" x14ac:dyDescent="0.15">
      <c r="A25" s="7">
        <v>21</v>
      </c>
      <c r="B25" s="15">
        <v>2270</v>
      </c>
      <c r="C25" s="17" t="s">
        <v>314</v>
      </c>
      <c r="D25" s="16" t="s">
        <v>315</v>
      </c>
      <c r="E25" s="17" t="s">
        <v>316</v>
      </c>
      <c r="F25" s="17" t="s">
        <v>316</v>
      </c>
      <c r="G25" s="15" t="s">
        <v>263</v>
      </c>
      <c r="H25" s="40" t="s">
        <v>317</v>
      </c>
      <c r="I25" s="14">
        <v>25</v>
      </c>
      <c r="J25" s="9"/>
    </row>
    <row r="26" spans="1:10" s="3" customFormat="1" ht="24" x14ac:dyDescent="0.15">
      <c r="A26" s="7">
        <v>22</v>
      </c>
      <c r="B26" s="15">
        <v>2271</v>
      </c>
      <c r="C26" s="17" t="s">
        <v>318</v>
      </c>
      <c r="D26" s="16" t="s">
        <v>319</v>
      </c>
      <c r="E26" s="17" t="s">
        <v>320</v>
      </c>
      <c r="F26" s="17" t="s">
        <v>320</v>
      </c>
      <c r="G26" s="16" t="s">
        <v>263</v>
      </c>
      <c r="H26" s="17" t="s">
        <v>321</v>
      </c>
      <c r="I26" s="14">
        <v>19</v>
      </c>
      <c r="J26" s="9"/>
    </row>
    <row r="27" spans="1:10" s="3" customFormat="1" ht="24" x14ac:dyDescent="0.15">
      <c r="A27" s="7">
        <v>23</v>
      </c>
      <c r="B27" s="15">
        <v>2272</v>
      </c>
      <c r="C27" s="17" t="s">
        <v>322</v>
      </c>
      <c r="D27" s="43" t="s">
        <v>323</v>
      </c>
      <c r="E27" s="17" t="s">
        <v>324</v>
      </c>
      <c r="F27" s="17" t="s">
        <v>324</v>
      </c>
      <c r="G27" s="15" t="s">
        <v>263</v>
      </c>
      <c r="H27" s="40" t="s">
        <v>325</v>
      </c>
      <c r="I27" s="14">
        <v>16.8</v>
      </c>
      <c r="J27" s="9"/>
    </row>
    <row r="28" spans="1:10" s="3" customFormat="1" ht="24" x14ac:dyDescent="0.15">
      <c r="A28" s="7">
        <v>24</v>
      </c>
      <c r="B28" s="15">
        <v>2273</v>
      </c>
      <c r="C28" s="17" t="s">
        <v>326</v>
      </c>
      <c r="D28" s="16" t="s">
        <v>327</v>
      </c>
      <c r="E28" s="17" t="s">
        <v>328</v>
      </c>
      <c r="F28" s="17" t="s">
        <v>328</v>
      </c>
      <c r="G28" s="15" t="s">
        <v>250</v>
      </c>
      <c r="H28" s="40" t="s">
        <v>329</v>
      </c>
      <c r="I28" s="14">
        <v>27.5</v>
      </c>
      <c r="J28" s="9"/>
    </row>
    <row r="29" spans="1:10" s="3" customFormat="1" ht="24" x14ac:dyDescent="0.15">
      <c r="A29" s="7">
        <v>25</v>
      </c>
      <c r="B29" s="15">
        <v>2274</v>
      </c>
      <c r="C29" s="17" t="s">
        <v>330</v>
      </c>
      <c r="D29" s="16" t="s">
        <v>331</v>
      </c>
      <c r="E29" s="17" t="s">
        <v>332</v>
      </c>
      <c r="F29" s="17" t="s">
        <v>332</v>
      </c>
      <c r="G29" s="15" t="s">
        <v>263</v>
      </c>
      <c r="H29" s="40" t="s">
        <v>333</v>
      </c>
      <c r="I29" s="14">
        <v>10</v>
      </c>
      <c r="J29" s="9"/>
    </row>
    <row r="30" spans="1:10" s="3" customFormat="1" ht="24" x14ac:dyDescent="0.15">
      <c r="A30" s="7">
        <v>26</v>
      </c>
      <c r="B30" s="15">
        <v>2275</v>
      </c>
      <c r="C30" s="17" t="s">
        <v>334</v>
      </c>
      <c r="D30" s="16" t="s">
        <v>335</v>
      </c>
      <c r="E30" s="17" t="s">
        <v>336</v>
      </c>
      <c r="F30" s="17" t="s">
        <v>336</v>
      </c>
      <c r="G30" s="15" t="s">
        <v>263</v>
      </c>
      <c r="H30" s="40" t="s">
        <v>337</v>
      </c>
      <c r="I30" s="14">
        <v>20</v>
      </c>
      <c r="J30" s="9"/>
    </row>
    <row r="31" spans="1:10" s="3" customFormat="1" ht="24" x14ac:dyDescent="0.15">
      <c r="A31" s="7">
        <v>27</v>
      </c>
      <c r="B31" s="15">
        <v>2276</v>
      </c>
      <c r="C31" s="17" t="s">
        <v>338</v>
      </c>
      <c r="D31" s="16" t="s">
        <v>339</v>
      </c>
      <c r="E31" s="17" t="s">
        <v>340</v>
      </c>
      <c r="F31" s="17" t="s">
        <v>340</v>
      </c>
      <c r="G31" s="15" t="s">
        <v>250</v>
      </c>
      <c r="H31" s="40" t="s">
        <v>341</v>
      </c>
      <c r="I31" s="14">
        <v>7.35</v>
      </c>
      <c r="J31" s="9"/>
    </row>
    <row r="32" spans="1:10" s="3" customFormat="1" ht="24" x14ac:dyDescent="0.15">
      <c r="A32" s="7">
        <v>28</v>
      </c>
      <c r="B32" s="15">
        <v>2277</v>
      </c>
      <c r="C32" s="17" t="s">
        <v>342</v>
      </c>
      <c r="D32" s="16" t="s">
        <v>343</v>
      </c>
      <c r="E32" s="17" t="s">
        <v>344</v>
      </c>
      <c r="F32" s="17" t="s">
        <v>344</v>
      </c>
      <c r="G32" s="15" t="s">
        <v>250</v>
      </c>
      <c r="H32" s="40" t="s">
        <v>345</v>
      </c>
      <c r="I32" s="14">
        <v>5</v>
      </c>
      <c r="J32" s="9"/>
    </row>
    <row r="33" spans="1:10" s="3" customFormat="1" ht="24" x14ac:dyDescent="0.15">
      <c r="A33" s="7">
        <v>29</v>
      </c>
      <c r="B33" s="15">
        <v>2278</v>
      </c>
      <c r="C33" s="17" t="s">
        <v>346</v>
      </c>
      <c r="D33" s="16" t="s">
        <v>347</v>
      </c>
      <c r="E33" s="17" t="s">
        <v>348</v>
      </c>
      <c r="F33" s="17" t="s">
        <v>348</v>
      </c>
      <c r="G33" s="15" t="s">
        <v>250</v>
      </c>
      <c r="H33" s="40" t="s">
        <v>349</v>
      </c>
      <c r="I33" s="14">
        <v>7.2</v>
      </c>
      <c r="J33" s="9"/>
    </row>
    <row r="34" spans="1:10" s="3" customFormat="1" ht="24" x14ac:dyDescent="0.15">
      <c r="A34" s="7">
        <v>30</v>
      </c>
      <c r="B34" s="15">
        <v>2279</v>
      </c>
      <c r="C34" s="17" t="s">
        <v>350</v>
      </c>
      <c r="D34" s="43" t="s">
        <v>351</v>
      </c>
      <c r="E34" s="17" t="s">
        <v>352</v>
      </c>
      <c r="F34" s="17" t="s">
        <v>352</v>
      </c>
      <c r="G34" s="15" t="s">
        <v>263</v>
      </c>
      <c r="H34" s="40" t="s">
        <v>353</v>
      </c>
      <c r="I34" s="14">
        <v>21</v>
      </c>
      <c r="J34" s="9"/>
    </row>
    <row r="35" spans="1:10" s="3" customFormat="1" ht="24" x14ac:dyDescent="0.15">
      <c r="A35" s="7">
        <v>31</v>
      </c>
      <c r="B35" s="15">
        <v>2280</v>
      </c>
      <c r="C35" s="42" t="s">
        <v>354</v>
      </c>
      <c r="D35" s="16" t="s">
        <v>355</v>
      </c>
      <c r="E35" s="17" t="s">
        <v>356</v>
      </c>
      <c r="F35" s="17" t="s">
        <v>356</v>
      </c>
      <c r="G35" s="15" t="s">
        <v>250</v>
      </c>
      <c r="H35" s="40" t="s">
        <v>357</v>
      </c>
      <c r="I35" s="14">
        <v>40</v>
      </c>
      <c r="J35" s="9"/>
    </row>
    <row r="36" spans="1:10" s="3" customFormat="1" ht="24" x14ac:dyDescent="0.15">
      <c r="A36" s="7">
        <v>32</v>
      </c>
      <c r="B36" s="15">
        <v>2281</v>
      </c>
      <c r="C36" s="17" t="s">
        <v>358</v>
      </c>
      <c r="D36" s="16" t="s">
        <v>359</v>
      </c>
      <c r="E36" s="17" t="s">
        <v>360</v>
      </c>
      <c r="F36" s="17" t="s">
        <v>360</v>
      </c>
      <c r="G36" s="15" t="s">
        <v>263</v>
      </c>
      <c r="H36" s="40" t="s">
        <v>361</v>
      </c>
      <c r="I36" s="14">
        <v>28</v>
      </c>
      <c r="J36" s="9"/>
    </row>
    <row r="37" spans="1:10" s="3" customFormat="1" ht="24" x14ac:dyDescent="0.15">
      <c r="A37" s="7">
        <v>33</v>
      </c>
      <c r="B37" s="15">
        <v>2282</v>
      </c>
      <c r="C37" s="17" t="s">
        <v>362</v>
      </c>
      <c r="D37" s="16" t="s">
        <v>363</v>
      </c>
      <c r="E37" s="17" t="s">
        <v>364</v>
      </c>
      <c r="F37" s="17" t="s">
        <v>364</v>
      </c>
      <c r="G37" s="15" t="s">
        <v>250</v>
      </c>
      <c r="H37" s="40" t="s">
        <v>365</v>
      </c>
      <c r="I37" s="14">
        <v>5</v>
      </c>
      <c r="J37" s="9"/>
    </row>
    <row r="38" spans="1:10" s="3" customFormat="1" ht="24" x14ac:dyDescent="0.15">
      <c r="A38" s="7">
        <v>34</v>
      </c>
      <c r="B38" s="15">
        <v>2283</v>
      </c>
      <c r="C38" s="17" t="s">
        <v>366</v>
      </c>
      <c r="D38" s="16" t="s">
        <v>367</v>
      </c>
      <c r="E38" s="17" t="s">
        <v>368</v>
      </c>
      <c r="F38" s="17" t="s">
        <v>368</v>
      </c>
      <c r="G38" s="15" t="s">
        <v>250</v>
      </c>
      <c r="H38" s="40" t="s">
        <v>369</v>
      </c>
      <c r="I38" s="14">
        <v>19.8</v>
      </c>
      <c r="J38" s="9"/>
    </row>
    <row r="39" spans="1:10" s="3" customFormat="1" ht="24" x14ac:dyDescent="0.15">
      <c r="A39" s="7">
        <v>35</v>
      </c>
      <c r="B39" s="15">
        <v>2284</v>
      </c>
      <c r="C39" s="17" t="s">
        <v>370</v>
      </c>
      <c r="D39" s="16" t="s">
        <v>371</v>
      </c>
      <c r="E39" s="17" t="s">
        <v>372</v>
      </c>
      <c r="F39" s="17" t="s">
        <v>372</v>
      </c>
      <c r="G39" s="15" t="s">
        <v>250</v>
      </c>
      <c r="H39" s="40" t="s">
        <v>373</v>
      </c>
      <c r="I39" s="14">
        <v>12</v>
      </c>
      <c r="J39" s="9"/>
    </row>
    <row r="40" spans="1:10" s="3" customFormat="1" ht="24" x14ac:dyDescent="0.15">
      <c r="A40" s="7">
        <v>36</v>
      </c>
      <c r="B40" s="15">
        <v>2285</v>
      </c>
      <c r="C40" s="17" t="s">
        <v>374</v>
      </c>
      <c r="D40" s="16" t="s">
        <v>375</v>
      </c>
      <c r="E40" s="17" t="s">
        <v>376</v>
      </c>
      <c r="F40" s="17" t="s">
        <v>376</v>
      </c>
      <c r="G40" s="15" t="s">
        <v>250</v>
      </c>
      <c r="H40" s="40" t="s">
        <v>377</v>
      </c>
      <c r="I40" s="14">
        <v>5.5</v>
      </c>
      <c r="J40" s="9"/>
    </row>
    <row r="41" spans="1:10" s="3" customFormat="1" ht="24" x14ac:dyDescent="0.15">
      <c r="A41" s="7">
        <v>37</v>
      </c>
      <c r="B41" s="15">
        <v>2286</v>
      </c>
      <c r="C41" s="17" t="s">
        <v>378</v>
      </c>
      <c r="D41" s="16" t="s">
        <v>379</v>
      </c>
      <c r="E41" s="17" t="s">
        <v>380</v>
      </c>
      <c r="F41" s="17" t="s">
        <v>380</v>
      </c>
      <c r="G41" s="15" t="s">
        <v>263</v>
      </c>
      <c r="H41" s="40" t="s">
        <v>381</v>
      </c>
      <c r="I41" s="14">
        <v>26.4</v>
      </c>
      <c r="J41" s="9"/>
    </row>
    <row r="42" spans="1:10" s="3" customFormat="1" ht="24" x14ac:dyDescent="0.15">
      <c r="A42" s="7">
        <v>38</v>
      </c>
      <c r="B42" s="15">
        <v>2287</v>
      </c>
      <c r="C42" s="17" t="s">
        <v>382</v>
      </c>
      <c r="D42" s="16" t="s">
        <v>383</v>
      </c>
      <c r="E42" s="17" t="s">
        <v>384</v>
      </c>
      <c r="F42" s="17" t="s">
        <v>384</v>
      </c>
      <c r="G42" s="15" t="s">
        <v>263</v>
      </c>
      <c r="H42" s="40" t="s">
        <v>385</v>
      </c>
      <c r="I42" s="14">
        <v>24</v>
      </c>
      <c r="J42" s="9"/>
    </row>
    <row r="43" spans="1:10" s="3" customFormat="1" ht="24" x14ac:dyDescent="0.15">
      <c r="A43" s="7">
        <v>39</v>
      </c>
      <c r="B43" s="15">
        <v>2288</v>
      </c>
      <c r="C43" s="17" t="s">
        <v>386</v>
      </c>
      <c r="D43" s="16" t="s">
        <v>387</v>
      </c>
      <c r="E43" s="17" t="s">
        <v>388</v>
      </c>
      <c r="F43" s="17" t="s">
        <v>388</v>
      </c>
      <c r="G43" s="15" t="s">
        <v>250</v>
      </c>
      <c r="H43" s="40" t="s">
        <v>389</v>
      </c>
      <c r="I43" s="14">
        <v>4.7</v>
      </c>
      <c r="J43" s="9"/>
    </row>
    <row r="44" spans="1:10" s="3" customFormat="1" ht="24" x14ac:dyDescent="0.15">
      <c r="A44" s="7">
        <v>40</v>
      </c>
      <c r="B44" s="15">
        <v>2289</v>
      </c>
      <c r="C44" s="17" t="s">
        <v>390</v>
      </c>
      <c r="D44" s="16" t="s">
        <v>391</v>
      </c>
      <c r="E44" s="17" t="s">
        <v>392</v>
      </c>
      <c r="F44" s="17" t="s">
        <v>392</v>
      </c>
      <c r="G44" s="15" t="s">
        <v>250</v>
      </c>
      <c r="H44" s="40" t="s">
        <v>393</v>
      </c>
      <c r="I44" s="14">
        <v>20</v>
      </c>
      <c r="J44" s="9"/>
    </row>
    <row r="45" spans="1:10" s="3" customFormat="1" ht="24" x14ac:dyDescent="0.15">
      <c r="A45" s="7">
        <v>41</v>
      </c>
      <c r="B45" s="15">
        <v>2290</v>
      </c>
      <c r="C45" s="17" t="s">
        <v>394</v>
      </c>
      <c r="D45" s="43" t="s">
        <v>395</v>
      </c>
      <c r="E45" s="17" t="s">
        <v>396</v>
      </c>
      <c r="F45" s="17" t="s">
        <v>396</v>
      </c>
      <c r="G45" s="15" t="s">
        <v>263</v>
      </c>
      <c r="H45" s="40" t="s">
        <v>397</v>
      </c>
      <c r="I45" s="14">
        <v>15.5</v>
      </c>
      <c r="J45" s="9"/>
    </row>
    <row r="46" spans="1:10" s="3" customFormat="1" ht="24" x14ac:dyDescent="0.15">
      <c r="A46" s="7">
        <v>42</v>
      </c>
      <c r="B46" s="15">
        <v>2291</v>
      </c>
      <c r="C46" s="17" t="s">
        <v>398</v>
      </c>
      <c r="D46" s="16" t="s">
        <v>399</v>
      </c>
      <c r="E46" s="17" t="s">
        <v>400</v>
      </c>
      <c r="F46" s="17" t="s">
        <v>400</v>
      </c>
      <c r="G46" s="15" t="s">
        <v>250</v>
      </c>
      <c r="H46" s="40" t="s">
        <v>401</v>
      </c>
      <c r="I46" s="14">
        <v>16</v>
      </c>
      <c r="J46" s="9"/>
    </row>
    <row r="47" spans="1:10" s="3" customFormat="1" ht="24" x14ac:dyDescent="0.15">
      <c r="A47" s="7">
        <v>43</v>
      </c>
      <c r="B47" s="15">
        <v>2292</v>
      </c>
      <c r="C47" s="17" t="s">
        <v>402</v>
      </c>
      <c r="D47" s="43" t="s">
        <v>403</v>
      </c>
      <c r="E47" s="17" t="s">
        <v>404</v>
      </c>
      <c r="F47" s="17" t="s">
        <v>404</v>
      </c>
      <c r="G47" s="15" t="s">
        <v>263</v>
      </c>
      <c r="H47" s="40" t="s">
        <v>405</v>
      </c>
      <c r="I47" s="14">
        <v>13</v>
      </c>
      <c r="J47" s="9"/>
    </row>
    <row r="48" spans="1:10" s="3" customFormat="1" ht="24" x14ac:dyDescent="0.15">
      <c r="A48" s="7">
        <v>44</v>
      </c>
      <c r="B48" s="15">
        <v>2293</v>
      </c>
      <c r="C48" s="17" t="s">
        <v>406</v>
      </c>
      <c r="D48" s="16" t="s">
        <v>407</v>
      </c>
      <c r="E48" s="17" t="s">
        <v>408</v>
      </c>
      <c r="F48" s="17" t="s">
        <v>408</v>
      </c>
      <c r="G48" s="15" t="s">
        <v>250</v>
      </c>
      <c r="H48" s="40" t="s">
        <v>409</v>
      </c>
      <c r="I48" s="14">
        <v>7.1</v>
      </c>
      <c r="J48" s="9"/>
    </row>
    <row r="49" spans="1:10" s="3" customFormat="1" ht="24" x14ac:dyDescent="0.15">
      <c r="A49" s="7">
        <v>45</v>
      </c>
      <c r="B49" s="15">
        <v>2294</v>
      </c>
      <c r="C49" s="17" t="s">
        <v>410</v>
      </c>
      <c r="D49" s="16" t="s">
        <v>411</v>
      </c>
      <c r="E49" s="17" t="s">
        <v>412</v>
      </c>
      <c r="F49" s="17" t="s">
        <v>413</v>
      </c>
      <c r="G49" s="15" t="s">
        <v>250</v>
      </c>
      <c r="H49" s="40" t="s">
        <v>414</v>
      </c>
      <c r="I49" s="14">
        <v>100</v>
      </c>
      <c r="J49" s="9"/>
    </row>
    <row r="50" spans="1:10" s="3" customFormat="1" ht="24" x14ac:dyDescent="0.15">
      <c r="A50" s="7">
        <v>46</v>
      </c>
      <c r="B50" s="15">
        <v>2295</v>
      </c>
      <c r="C50" s="17" t="s">
        <v>415</v>
      </c>
      <c r="D50" s="43" t="s">
        <v>416</v>
      </c>
      <c r="E50" s="17" t="s">
        <v>417</v>
      </c>
      <c r="F50" s="17" t="s">
        <v>418</v>
      </c>
      <c r="G50" s="15" t="s">
        <v>250</v>
      </c>
      <c r="H50" s="40" t="s">
        <v>419</v>
      </c>
      <c r="I50" s="14">
        <v>23.5</v>
      </c>
      <c r="J50" s="9"/>
    </row>
    <row r="51" spans="1:10" s="3" customFormat="1" ht="24" x14ac:dyDescent="0.15">
      <c r="A51" s="7">
        <v>47</v>
      </c>
      <c r="B51" s="15">
        <v>2296</v>
      </c>
      <c r="C51" s="42" t="s">
        <v>420</v>
      </c>
      <c r="D51" s="43" t="s">
        <v>421</v>
      </c>
      <c r="E51" s="17" t="s">
        <v>422</v>
      </c>
      <c r="F51" s="17" t="s">
        <v>418</v>
      </c>
      <c r="G51" s="15" t="s">
        <v>250</v>
      </c>
      <c r="H51" s="40" t="s">
        <v>423</v>
      </c>
      <c r="I51" s="14">
        <v>23.5</v>
      </c>
      <c r="J51" s="9"/>
    </row>
    <row r="52" spans="1:10" s="3" customFormat="1" ht="24" x14ac:dyDescent="0.15">
      <c r="A52" s="7">
        <v>48</v>
      </c>
      <c r="B52" s="15">
        <v>2297</v>
      </c>
      <c r="C52" s="42" t="s">
        <v>424</v>
      </c>
      <c r="D52" s="16" t="s">
        <v>425</v>
      </c>
      <c r="E52" s="17" t="s">
        <v>426</v>
      </c>
      <c r="F52" s="17" t="s">
        <v>427</v>
      </c>
      <c r="G52" s="15" t="s">
        <v>250</v>
      </c>
      <c r="H52" s="40" t="s">
        <v>428</v>
      </c>
      <c r="I52" s="14">
        <v>19.5</v>
      </c>
      <c r="J52" s="9"/>
    </row>
    <row r="53" spans="1:10" s="3" customFormat="1" ht="24" x14ac:dyDescent="0.15">
      <c r="A53" s="7">
        <v>49</v>
      </c>
      <c r="B53" s="15">
        <v>2298</v>
      </c>
      <c r="C53" s="17" t="s">
        <v>429</v>
      </c>
      <c r="D53" s="16" t="s">
        <v>430</v>
      </c>
      <c r="E53" s="17" t="s">
        <v>431</v>
      </c>
      <c r="F53" s="17" t="s">
        <v>431</v>
      </c>
      <c r="G53" s="15" t="s">
        <v>263</v>
      </c>
      <c r="H53" s="40" t="s">
        <v>432</v>
      </c>
      <c r="I53" s="14">
        <v>28</v>
      </c>
      <c r="J53" s="9"/>
    </row>
    <row r="54" spans="1:10" s="3" customFormat="1" ht="24" x14ac:dyDescent="0.15">
      <c r="A54" s="7">
        <v>50</v>
      </c>
      <c r="B54" s="15">
        <v>2299</v>
      </c>
      <c r="C54" s="17" t="s">
        <v>433</v>
      </c>
      <c r="D54" s="16" t="s">
        <v>434</v>
      </c>
      <c r="E54" s="17" t="s">
        <v>435</v>
      </c>
      <c r="F54" s="17" t="s">
        <v>435</v>
      </c>
      <c r="G54" s="15" t="s">
        <v>263</v>
      </c>
      <c r="H54" s="40" t="s">
        <v>436</v>
      </c>
      <c r="I54" s="14">
        <v>17.8</v>
      </c>
      <c r="J54" s="9"/>
    </row>
    <row r="55" spans="1:10" s="3" customFormat="1" ht="24" x14ac:dyDescent="0.15">
      <c r="A55" s="7">
        <v>51</v>
      </c>
      <c r="B55" s="15">
        <v>2300</v>
      </c>
      <c r="C55" s="42" t="s">
        <v>437</v>
      </c>
      <c r="D55" s="16" t="s">
        <v>438</v>
      </c>
      <c r="E55" s="17" t="s">
        <v>439</v>
      </c>
      <c r="F55" s="17" t="s">
        <v>439</v>
      </c>
      <c r="G55" s="15" t="s">
        <v>250</v>
      </c>
      <c r="H55" s="40" t="s">
        <v>440</v>
      </c>
      <c r="I55" s="14">
        <v>23</v>
      </c>
      <c r="J55" s="9"/>
    </row>
    <row r="56" spans="1:10" s="3" customFormat="1" ht="24" x14ac:dyDescent="0.15">
      <c r="A56" s="7">
        <v>52</v>
      </c>
      <c r="B56" s="15">
        <v>2301</v>
      </c>
      <c r="C56" s="42" t="s">
        <v>441</v>
      </c>
      <c r="D56" s="16" t="s">
        <v>442</v>
      </c>
      <c r="E56" s="17" t="s">
        <v>443</v>
      </c>
      <c r="F56" s="17" t="s">
        <v>443</v>
      </c>
      <c r="G56" s="15" t="s">
        <v>250</v>
      </c>
      <c r="H56" s="40" t="s">
        <v>444</v>
      </c>
      <c r="I56" s="14">
        <v>26.6</v>
      </c>
      <c r="J56" s="9"/>
    </row>
    <row r="57" spans="1:10" s="3" customFormat="1" ht="24" x14ac:dyDescent="0.15">
      <c r="A57" s="7">
        <v>53</v>
      </c>
      <c r="B57" s="15">
        <v>2302</v>
      </c>
      <c r="C57" s="17" t="s">
        <v>445</v>
      </c>
      <c r="D57" s="16" t="s">
        <v>446</v>
      </c>
      <c r="E57" s="17" t="s">
        <v>447</v>
      </c>
      <c r="F57" s="17" t="s">
        <v>447</v>
      </c>
      <c r="G57" s="17" t="s">
        <v>263</v>
      </c>
      <c r="H57" s="15" t="s">
        <v>448</v>
      </c>
      <c r="I57" s="40">
        <v>17</v>
      </c>
      <c r="J57" s="9"/>
    </row>
    <row r="58" spans="1:10" s="3" customFormat="1" ht="24" x14ac:dyDescent="0.15">
      <c r="A58" s="7">
        <v>54</v>
      </c>
      <c r="B58" s="15">
        <v>2303</v>
      </c>
      <c r="C58" s="17" t="s">
        <v>449</v>
      </c>
      <c r="D58" s="16" t="s">
        <v>450</v>
      </c>
      <c r="E58" s="17" t="s">
        <v>451</v>
      </c>
      <c r="F58" s="17" t="s">
        <v>451</v>
      </c>
      <c r="G58" s="15" t="s">
        <v>263</v>
      </c>
      <c r="H58" s="40" t="s">
        <v>452</v>
      </c>
      <c r="I58" s="14">
        <v>12.2</v>
      </c>
      <c r="J58" s="9"/>
    </row>
    <row r="59" spans="1:10" s="3" customFormat="1" ht="24" x14ac:dyDescent="0.15">
      <c r="A59" s="7">
        <v>55</v>
      </c>
      <c r="B59" s="15">
        <v>2304</v>
      </c>
      <c r="C59" s="17" t="s">
        <v>453</v>
      </c>
      <c r="D59" s="16" t="s">
        <v>454</v>
      </c>
      <c r="E59" s="17" t="s">
        <v>455</v>
      </c>
      <c r="F59" s="17" t="s">
        <v>455</v>
      </c>
      <c r="G59" s="15" t="s">
        <v>250</v>
      </c>
      <c r="H59" s="40" t="s">
        <v>456</v>
      </c>
      <c r="I59" s="14">
        <v>26</v>
      </c>
      <c r="J59" s="9"/>
    </row>
    <row r="60" spans="1:10" s="3" customFormat="1" ht="24" x14ac:dyDescent="0.15">
      <c r="A60" s="7">
        <v>56</v>
      </c>
      <c r="B60" s="15">
        <v>2305</v>
      </c>
      <c r="C60" s="17" t="s">
        <v>457</v>
      </c>
      <c r="D60" s="16" t="s">
        <v>458</v>
      </c>
      <c r="E60" s="17" t="s">
        <v>459</v>
      </c>
      <c r="F60" s="17" t="s">
        <v>459</v>
      </c>
      <c r="G60" s="15" t="s">
        <v>250</v>
      </c>
      <c r="H60" s="40" t="s">
        <v>460</v>
      </c>
      <c r="I60" s="14">
        <v>10</v>
      </c>
      <c r="J60" s="9"/>
    </row>
    <row r="61" spans="1:10" s="3" customFormat="1" ht="24" x14ac:dyDescent="0.15">
      <c r="A61" s="7">
        <v>57</v>
      </c>
      <c r="B61" s="15">
        <v>2306</v>
      </c>
      <c r="C61" s="17" t="s">
        <v>461</v>
      </c>
      <c r="D61" s="16" t="s">
        <v>462</v>
      </c>
      <c r="E61" s="17" t="s">
        <v>463</v>
      </c>
      <c r="F61" s="17" t="s">
        <v>463</v>
      </c>
      <c r="G61" s="15" t="s">
        <v>263</v>
      </c>
      <c r="H61" s="44" t="s">
        <v>464</v>
      </c>
      <c r="I61" s="14">
        <v>13</v>
      </c>
      <c r="J61" s="9"/>
    </row>
    <row r="62" spans="1:10" s="3" customFormat="1" ht="24" x14ac:dyDescent="0.15">
      <c r="A62" s="7">
        <v>58</v>
      </c>
      <c r="B62" s="15">
        <v>2307</v>
      </c>
      <c r="C62" s="17" t="s">
        <v>465</v>
      </c>
      <c r="D62" s="16" t="s">
        <v>466</v>
      </c>
      <c r="E62" s="17" t="s">
        <v>467</v>
      </c>
      <c r="F62" s="17" t="s">
        <v>467</v>
      </c>
      <c r="G62" s="15" t="s">
        <v>263</v>
      </c>
      <c r="H62" s="40" t="s">
        <v>468</v>
      </c>
      <c r="I62" s="14">
        <v>15.8</v>
      </c>
      <c r="J62" s="9"/>
    </row>
    <row r="63" spans="1:10" s="3" customFormat="1" ht="24" x14ac:dyDescent="0.15">
      <c r="A63" s="7">
        <v>59</v>
      </c>
      <c r="B63" s="15">
        <v>2308</v>
      </c>
      <c r="C63" s="17" t="s">
        <v>469</v>
      </c>
      <c r="D63" s="16" t="s">
        <v>470</v>
      </c>
      <c r="E63" s="17" t="s">
        <v>471</v>
      </c>
      <c r="F63" s="17" t="s">
        <v>471</v>
      </c>
      <c r="G63" s="15" t="s">
        <v>250</v>
      </c>
      <c r="H63" s="44" t="s">
        <v>472</v>
      </c>
      <c r="I63" s="14">
        <v>6</v>
      </c>
      <c r="J63" s="9"/>
    </row>
    <row r="64" spans="1:10" s="3" customFormat="1" ht="24" x14ac:dyDescent="0.15">
      <c r="A64" s="7">
        <v>60</v>
      </c>
      <c r="B64" s="15">
        <v>2309</v>
      </c>
      <c r="C64" s="17" t="s">
        <v>473</v>
      </c>
      <c r="D64" s="16" t="s">
        <v>474</v>
      </c>
      <c r="E64" s="17" t="s">
        <v>475</v>
      </c>
      <c r="F64" s="17" t="s">
        <v>475</v>
      </c>
      <c r="G64" s="15" t="s">
        <v>263</v>
      </c>
      <c r="H64" s="40" t="s">
        <v>476</v>
      </c>
      <c r="I64" s="14">
        <v>26</v>
      </c>
      <c r="J64" s="9"/>
    </row>
    <row r="65" spans="1:10" s="3" customFormat="1" ht="24" x14ac:dyDescent="0.15">
      <c r="A65" s="7">
        <v>61</v>
      </c>
      <c r="B65" s="15">
        <v>2310</v>
      </c>
      <c r="C65" s="17" t="s">
        <v>477</v>
      </c>
      <c r="D65" s="16" t="s">
        <v>478</v>
      </c>
      <c r="E65" s="17" t="s">
        <v>479</v>
      </c>
      <c r="F65" s="17" t="s">
        <v>479</v>
      </c>
      <c r="G65" s="15" t="s">
        <v>263</v>
      </c>
      <c r="H65" s="40" t="s">
        <v>480</v>
      </c>
      <c r="I65" s="14">
        <v>17.5</v>
      </c>
      <c r="J65" s="9"/>
    </row>
    <row r="66" spans="1:10" s="3" customFormat="1" ht="24" x14ac:dyDescent="0.15">
      <c r="A66" s="7">
        <v>62</v>
      </c>
      <c r="B66" s="15">
        <v>2311</v>
      </c>
      <c r="C66" s="17" t="s">
        <v>481</v>
      </c>
      <c r="D66" s="16" t="s">
        <v>482</v>
      </c>
      <c r="E66" s="17" t="s">
        <v>483</v>
      </c>
      <c r="F66" s="17" t="s">
        <v>483</v>
      </c>
      <c r="G66" s="15" t="s">
        <v>250</v>
      </c>
      <c r="H66" s="40" t="s">
        <v>484</v>
      </c>
      <c r="I66" s="14">
        <v>24</v>
      </c>
      <c r="J66" s="9"/>
    </row>
    <row r="67" spans="1:10" s="3" customFormat="1" ht="24" x14ac:dyDescent="0.15">
      <c r="A67" s="7">
        <v>63</v>
      </c>
      <c r="B67" s="15">
        <v>2312</v>
      </c>
      <c r="C67" s="17" t="s">
        <v>485</v>
      </c>
      <c r="D67" s="16" t="s">
        <v>486</v>
      </c>
      <c r="E67" s="17" t="s">
        <v>487</v>
      </c>
      <c r="F67" s="17" t="s">
        <v>487</v>
      </c>
      <c r="G67" s="15" t="s">
        <v>263</v>
      </c>
      <c r="H67" s="40" t="s">
        <v>488</v>
      </c>
      <c r="I67" s="14">
        <v>15</v>
      </c>
      <c r="J67" s="9"/>
    </row>
    <row r="68" spans="1:10" s="3" customFormat="1" ht="24" x14ac:dyDescent="0.15">
      <c r="A68" s="7">
        <v>64</v>
      </c>
      <c r="B68" s="15">
        <v>2313</v>
      </c>
      <c r="C68" s="17" t="s">
        <v>489</v>
      </c>
      <c r="D68" s="16" t="s">
        <v>490</v>
      </c>
      <c r="E68" s="17" t="s">
        <v>491</v>
      </c>
      <c r="F68" s="17" t="s">
        <v>491</v>
      </c>
      <c r="G68" s="15" t="s">
        <v>250</v>
      </c>
      <c r="H68" s="40" t="s">
        <v>492</v>
      </c>
      <c r="I68" s="14">
        <v>6</v>
      </c>
      <c r="J68" s="9"/>
    </row>
    <row r="69" spans="1:10" s="3" customFormat="1" ht="24" x14ac:dyDescent="0.15">
      <c r="A69" s="7">
        <v>65</v>
      </c>
      <c r="B69" s="15">
        <v>2314</v>
      </c>
      <c r="C69" s="17" t="s">
        <v>493</v>
      </c>
      <c r="D69" s="16" t="s">
        <v>494</v>
      </c>
      <c r="E69" s="17" t="s">
        <v>495</v>
      </c>
      <c r="F69" s="17" t="s">
        <v>495</v>
      </c>
      <c r="G69" s="15" t="s">
        <v>263</v>
      </c>
      <c r="H69" s="40" t="s">
        <v>496</v>
      </c>
      <c r="I69" s="14">
        <v>26.8</v>
      </c>
      <c r="J69" s="9"/>
    </row>
    <row r="70" spans="1:10" s="3" customFormat="1" ht="24" x14ac:dyDescent="0.15">
      <c r="A70" s="7">
        <v>66</v>
      </c>
      <c r="B70" s="15">
        <v>2315</v>
      </c>
      <c r="C70" s="17" t="s">
        <v>497</v>
      </c>
      <c r="D70" s="16" t="s">
        <v>498</v>
      </c>
      <c r="E70" s="17" t="s">
        <v>499</v>
      </c>
      <c r="F70" s="17" t="s">
        <v>499</v>
      </c>
      <c r="G70" s="15" t="s">
        <v>263</v>
      </c>
      <c r="H70" s="40" t="s">
        <v>500</v>
      </c>
      <c r="I70" s="14">
        <v>20</v>
      </c>
      <c r="J70" s="9"/>
    </row>
    <row r="71" spans="1:10" s="3" customFormat="1" ht="24" x14ac:dyDescent="0.15">
      <c r="A71" s="7">
        <v>67</v>
      </c>
      <c r="B71" s="15">
        <v>2316</v>
      </c>
      <c r="C71" s="17" t="s">
        <v>501</v>
      </c>
      <c r="D71" s="16" t="s">
        <v>502</v>
      </c>
      <c r="E71" s="17" t="s">
        <v>503</v>
      </c>
      <c r="F71" s="17" t="s">
        <v>503</v>
      </c>
      <c r="G71" s="15" t="s">
        <v>263</v>
      </c>
      <c r="H71" s="40" t="s">
        <v>504</v>
      </c>
      <c r="I71" s="14">
        <v>19</v>
      </c>
      <c r="J71" s="9"/>
    </row>
    <row r="72" spans="1:10" s="3" customFormat="1" ht="24" x14ac:dyDescent="0.15">
      <c r="A72" s="7">
        <v>68</v>
      </c>
      <c r="B72" s="15">
        <v>2317</v>
      </c>
      <c r="C72" s="17" t="s">
        <v>505</v>
      </c>
      <c r="D72" s="16" t="s">
        <v>506</v>
      </c>
      <c r="E72" s="17" t="s">
        <v>507</v>
      </c>
      <c r="F72" s="17" t="s">
        <v>507</v>
      </c>
      <c r="G72" s="15" t="s">
        <v>263</v>
      </c>
      <c r="H72" s="40" t="s">
        <v>508</v>
      </c>
      <c r="I72" s="14">
        <v>27.6</v>
      </c>
      <c r="J72" s="9"/>
    </row>
    <row r="73" spans="1:10" s="3" customFormat="1" ht="24" x14ac:dyDescent="0.15">
      <c r="A73" s="7">
        <v>69</v>
      </c>
      <c r="B73" s="15">
        <v>2318</v>
      </c>
      <c r="C73" s="17" t="s">
        <v>509</v>
      </c>
      <c r="D73" s="16" t="s">
        <v>510</v>
      </c>
      <c r="E73" s="17" t="s">
        <v>511</v>
      </c>
      <c r="F73" s="17" t="s">
        <v>511</v>
      </c>
      <c r="G73" s="15" t="s">
        <v>250</v>
      </c>
      <c r="H73" s="40" t="s">
        <v>512</v>
      </c>
      <c r="I73" s="14">
        <v>7</v>
      </c>
      <c r="J73" s="9"/>
    </row>
    <row r="74" spans="1:10" s="3" customFormat="1" ht="24" x14ac:dyDescent="0.15">
      <c r="A74" s="7">
        <v>70</v>
      </c>
      <c r="B74" s="15">
        <v>2319</v>
      </c>
      <c r="C74" s="17" t="s">
        <v>513</v>
      </c>
      <c r="D74" s="16" t="s">
        <v>514</v>
      </c>
      <c r="E74" s="17" t="s">
        <v>515</v>
      </c>
      <c r="F74" s="17" t="s">
        <v>515</v>
      </c>
      <c r="G74" s="15" t="s">
        <v>250</v>
      </c>
      <c r="H74" s="40" t="s">
        <v>516</v>
      </c>
      <c r="I74" s="14">
        <v>20</v>
      </c>
      <c r="J74" s="9"/>
    </row>
    <row r="75" spans="1:10" s="3" customFormat="1" ht="24" x14ac:dyDescent="0.15">
      <c r="A75" s="7">
        <v>71</v>
      </c>
      <c r="B75" s="15">
        <v>2320</v>
      </c>
      <c r="C75" s="17" t="s">
        <v>517</v>
      </c>
      <c r="D75" s="16" t="s">
        <v>518</v>
      </c>
      <c r="E75" s="17" t="s">
        <v>519</v>
      </c>
      <c r="F75" s="17" t="s">
        <v>519</v>
      </c>
      <c r="G75" s="15" t="s">
        <v>250</v>
      </c>
      <c r="H75" s="40" t="s">
        <v>520</v>
      </c>
      <c r="I75" s="14">
        <v>23.9</v>
      </c>
      <c r="J75" s="9"/>
    </row>
    <row r="76" spans="1:10" s="3" customFormat="1" ht="24" x14ac:dyDescent="0.15">
      <c r="A76" s="7">
        <v>72</v>
      </c>
      <c r="B76" s="15">
        <v>2321</v>
      </c>
      <c r="C76" s="17" t="s">
        <v>521</v>
      </c>
      <c r="D76" s="43" t="s">
        <v>522</v>
      </c>
      <c r="E76" s="17" t="s">
        <v>523</v>
      </c>
      <c r="F76" s="17" t="s">
        <v>523</v>
      </c>
      <c r="G76" s="15" t="s">
        <v>263</v>
      </c>
      <c r="H76" s="40" t="s">
        <v>524</v>
      </c>
      <c r="I76" s="14">
        <v>26</v>
      </c>
      <c r="J76" s="9"/>
    </row>
    <row r="77" spans="1:10" s="3" customFormat="1" ht="24" x14ac:dyDescent="0.15">
      <c r="A77" s="7">
        <v>73</v>
      </c>
      <c r="B77" s="15">
        <v>2322</v>
      </c>
      <c r="C77" s="17" t="s">
        <v>525</v>
      </c>
      <c r="D77" s="16" t="s">
        <v>526</v>
      </c>
      <c r="E77" s="17" t="s">
        <v>527</v>
      </c>
      <c r="F77" s="17" t="s">
        <v>527</v>
      </c>
      <c r="G77" s="15" t="s">
        <v>263</v>
      </c>
      <c r="H77" s="40" t="s">
        <v>528</v>
      </c>
      <c r="I77" s="14">
        <v>13</v>
      </c>
      <c r="J77" s="9"/>
    </row>
    <row r="78" spans="1:10" s="3" customFormat="1" ht="24" x14ac:dyDescent="0.15">
      <c r="A78" s="7">
        <v>74</v>
      </c>
      <c r="B78" s="15">
        <v>2323</v>
      </c>
      <c r="C78" s="17" t="s">
        <v>529</v>
      </c>
      <c r="D78" s="16" t="s">
        <v>530</v>
      </c>
      <c r="E78" s="17" t="s">
        <v>531</v>
      </c>
      <c r="F78" s="17" t="s">
        <v>531</v>
      </c>
      <c r="G78" s="15" t="s">
        <v>250</v>
      </c>
      <c r="H78" s="40" t="s">
        <v>532</v>
      </c>
      <c r="I78" s="14">
        <v>5</v>
      </c>
      <c r="J78" s="9"/>
    </row>
    <row r="79" spans="1:10" s="3" customFormat="1" ht="24" x14ac:dyDescent="0.15">
      <c r="A79" s="7">
        <v>75</v>
      </c>
      <c r="B79" s="15">
        <v>2324</v>
      </c>
      <c r="C79" s="17" t="s">
        <v>533</v>
      </c>
      <c r="D79" s="16" t="s">
        <v>534</v>
      </c>
      <c r="E79" s="17" t="s">
        <v>535</v>
      </c>
      <c r="F79" s="17" t="s">
        <v>535</v>
      </c>
      <c r="G79" s="15" t="s">
        <v>263</v>
      </c>
      <c r="H79" s="40" t="s">
        <v>536</v>
      </c>
      <c r="I79" s="14">
        <v>18</v>
      </c>
      <c r="J79" s="9"/>
    </row>
    <row r="80" spans="1:10" s="3" customFormat="1" ht="24" x14ac:dyDescent="0.15">
      <c r="A80" s="7">
        <v>76</v>
      </c>
      <c r="B80" s="15">
        <v>2325</v>
      </c>
      <c r="C80" s="17" t="s">
        <v>537</v>
      </c>
      <c r="D80" s="16" t="s">
        <v>538</v>
      </c>
      <c r="E80" s="17" t="s">
        <v>539</v>
      </c>
      <c r="F80" s="17" t="s">
        <v>539</v>
      </c>
      <c r="G80" s="15" t="s">
        <v>263</v>
      </c>
      <c r="H80" s="40" t="s">
        <v>540</v>
      </c>
      <c r="I80" s="14">
        <v>20</v>
      </c>
      <c r="J80" s="9"/>
    </row>
    <row r="81" spans="1:10" s="3" customFormat="1" ht="24" x14ac:dyDescent="0.15">
      <c r="A81" s="7">
        <v>77</v>
      </c>
      <c r="B81" s="15">
        <v>2326</v>
      </c>
      <c r="C81" s="17" t="s">
        <v>541</v>
      </c>
      <c r="D81" s="16" t="s">
        <v>542</v>
      </c>
      <c r="E81" s="17" t="s">
        <v>543</v>
      </c>
      <c r="F81" s="17" t="s">
        <v>543</v>
      </c>
      <c r="G81" s="15" t="s">
        <v>263</v>
      </c>
      <c r="H81" s="40" t="s">
        <v>544</v>
      </c>
      <c r="I81" s="14">
        <v>13.6</v>
      </c>
      <c r="J81" s="9"/>
    </row>
    <row r="82" spans="1:10" s="3" customFormat="1" ht="24" x14ac:dyDescent="0.15">
      <c r="A82" s="7">
        <v>78</v>
      </c>
      <c r="B82" s="15">
        <v>2327</v>
      </c>
      <c r="C82" s="17" t="s">
        <v>545</v>
      </c>
      <c r="D82" s="43" t="s">
        <v>546</v>
      </c>
      <c r="E82" s="17" t="s">
        <v>547</v>
      </c>
      <c r="F82" s="17" t="s">
        <v>547</v>
      </c>
      <c r="G82" s="15" t="s">
        <v>263</v>
      </c>
      <c r="H82" s="44" t="s">
        <v>548</v>
      </c>
      <c r="I82" s="14">
        <v>29.6</v>
      </c>
      <c r="J82" s="9"/>
    </row>
    <row r="83" spans="1:10" s="3" customFormat="1" ht="24" x14ac:dyDescent="0.15">
      <c r="A83" s="7">
        <v>79</v>
      </c>
      <c r="B83" s="15">
        <v>2328</v>
      </c>
      <c r="C83" s="17" t="s">
        <v>549</v>
      </c>
      <c r="D83" s="16" t="s">
        <v>550</v>
      </c>
      <c r="E83" s="17" t="s">
        <v>551</v>
      </c>
      <c r="F83" s="17" t="s">
        <v>551</v>
      </c>
      <c r="G83" s="15" t="s">
        <v>250</v>
      </c>
      <c r="H83" s="40" t="s">
        <v>552</v>
      </c>
      <c r="I83" s="14">
        <v>7.1</v>
      </c>
      <c r="J83" s="9"/>
    </row>
    <row r="84" spans="1:10" s="3" customFormat="1" ht="24" x14ac:dyDescent="0.15">
      <c r="A84" s="7">
        <v>80</v>
      </c>
      <c r="B84" s="15">
        <v>2329</v>
      </c>
      <c r="C84" s="17" t="s">
        <v>553</v>
      </c>
      <c r="D84" s="43" t="s">
        <v>554</v>
      </c>
      <c r="E84" s="17" t="s">
        <v>555</v>
      </c>
      <c r="F84" s="17" t="s">
        <v>555</v>
      </c>
      <c r="G84" s="15" t="s">
        <v>263</v>
      </c>
      <c r="H84" s="40" t="s">
        <v>556</v>
      </c>
      <c r="I84" s="14">
        <v>18</v>
      </c>
      <c r="J84" s="9"/>
    </row>
    <row r="85" spans="1:10" s="3" customFormat="1" ht="24" x14ac:dyDescent="0.15">
      <c r="A85" s="7">
        <v>81</v>
      </c>
      <c r="B85" s="15">
        <v>2330</v>
      </c>
      <c r="C85" s="17" t="s">
        <v>557</v>
      </c>
      <c r="D85" s="16" t="s">
        <v>558</v>
      </c>
      <c r="E85" s="17" t="s">
        <v>559</v>
      </c>
      <c r="F85" s="17" t="s">
        <v>559</v>
      </c>
      <c r="G85" s="15" t="s">
        <v>263</v>
      </c>
      <c r="H85" s="44" t="s">
        <v>560</v>
      </c>
      <c r="I85" s="14">
        <v>35</v>
      </c>
      <c r="J85" s="9"/>
    </row>
    <row r="86" spans="1:10" s="3" customFormat="1" ht="24" x14ac:dyDescent="0.15">
      <c r="A86" s="7">
        <v>82</v>
      </c>
      <c r="B86" s="15">
        <v>2331</v>
      </c>
      <c r="C86" s="17" t="s">
        <v>561</v>
      </c>
      <c r="D86" s="43" t="s">
        <v>562</v>
      </c>
      <c r="E86" s="17" t="s">
        <v>563</v>
      </c>
      <c r="F86" s="17" t="s">
        <v>563</v>
      </c>
      <c r="G86" s="15" t="s">
        <v>263</v>
      </c>
      <c r="H86" s="40" t="s">
        <v>564</v>
      </c>
      <c r="I86" s="14">
        <v>9</v>
      </c>
      <c r="J86" s="9"/>
    </row>
    <row r="87" spans="1:10" s="3" customFormat="1" ht="24" x14ac:dyDescent="0.15">
      <c r="A87" s="7">
        <v>83</v>
      </c>
      <c r="B87" s="15">
        <v>2332</v>
      </c>
      <c r="C87" s="17" t="s">
        <v>565</v>
      </c>
      <c r="D87" s="16" t="s">
        <v>566</v>
      </c>
      <c r="E87" s="17" t="s">
        <v>567</v>
      </c>
      <c r="F87" s="17" t="s">
        <v>567</v>
      </c>
      <c r="G87" s="15" t="s">
        <v>250</v>
      </c>
      <c r="H87" s="40" t="s">
        <v>568</v>
      </c>
      <c r="I87" s="14">
        <v>13</v>
      </c>
      <c r="J87" s="9"/>
    </row>
    <row r="88" spans="1:10" s="3" customFormat="1" ht="24" x14ac:dyDescent="0.15">
      <c r="A88" s="7">
        <v>84</v>
      </c>
      <c r="B88" s="15">
        <v>2333</v>
      </c>
      <c r="C88" s="17" t="s">
        <v>569</v>
      </c>
      <c r="D88" s="16" t="s">
        <v>570</v>
      </c>
      <c r="E88" s="17" t="s">
        <v>571</v>
      </c>
      <c r="F88" s="17" t="s">
        <v>571</v>
      </c>
      <c r="G88" s="15" t="s">
        <v>263</v>
      </c>
      <c r="H88" s="40" t="s">
        <v>572</v>
      </c>
      <c r="I88" s="14">
        <v>12.66</v>
      </c>
      <c r="J88" s="9"/>
    </row>
    <row r="89" spans="1:10" s="3" customFormat="1" ht="13.5" x14ac:dyDescent="0.15">
      <c r="A89" s="7"/>
      <c r="B89" s="8"/>
      <c r="C89" s="9"/>
      <c r="D89" s="10"/>
      <c r="E89" s="9"/>
      <c r="F89" s="9"/>
      <c r="G89" s="10"/>
      <c r="H89" s="23"/>
      <c r="I89" s="11"/>
      <c r="J89" s="9"/>
    </row>
    <row r="90" spans="1:10" s="3" customFormat="1" ht="22.5" customHeight="1" x14ac:dyDescent="0.15">
      <c r="A90" s="7"/>
      <c r="B90" s="8"/>
      <c r="C90" s="9"/>
      <c r="D90" s="11"/>
      <c r="E90" s="11"/>
      <c r="F90" s="11"/>
      <c r="G90" s="10"/>
      <c r="H90" s="12"/>
      <c r="I90" s="11"/>
      <c r="J90" s="9"/>
    </row>
    <row r="91" spans="1:10" s="3" customFormat="1" ht="22.5" customHeight="1" x14ac:dyDescent="0.15">
      <c r="A91" s="7"/>
      <c r="B91" s="14" t="s">
        <v>216</v>
      </c>
      <c r="C91" s="9" t="s">
        <v>217</v>
      </c>
      <c r="D91" s="11">
        <v>1</v>
      </c>
      <c r="E91" s="11">
        <f>COUNTIF(G:G,C91)</f>
        <v>0</v>
      </c>
      <c r="F91" s="11">
        <f t="shared" ref="F91:F99" si="0">D91+E91</f>
        <v>1</v>
      </c>
      <c r="G91" s="10"/>
      <c r="H91" s="12"/>
      <c r="I91" s="11"/>
      <c r="J91" s="9"/>
    </row>
    <row r="92" spans="1:10" ht="22.5" customHeight="1" x14ac:dyDescent="0.15">
      <c r="A92" s="6"/>
      <c r="B92" s="14" t="s">
        <v>216</v>
      </c>
      <c r="C92" s="9" t="s">
        <v>218</v>
      </c>
      <c r="D92" s="9">
        <v>965</v>
      </c>
      <c r="E92" s="11">
        <f>COUNTIF(G:G,C92)</f>
        <v>0</v>
      </c>
      <c r="F92" s="11">
        <f t="shared" si="0"/>
        <v>965</v>
      </c>
      <c r="G92" s="9"/>
      <c r="H92" s="9"/>
      <c r="I92" s="9"/>
      <c r="J92" s="16"/>
    </row>
    <row r="93" spans="1:10" ht="22.5" customHeight="1" x14ac:dyDescent="0.15">
      <c r="A93" s="6"/>
      <c r="B93" s="14" t="s">
        <v>216</v>
      </c>
      <c r="C93" s="8" t="s">
        <v>219</v>
      </c>
      <c r="D93" s="10">
        <v>402</v>
      </c>
      <c r="E93" s="11">
        <f>COUNTIF(G:G,C93)</f>
        <v>0</v>
      </c>
      <c r="F93" s="11">
        <f t="shared" si="0"/>
        <v>402</v>
      </c>
      <c r="G93" s="9"/>
      <c r="H93" s="9"/>
      <c r="I93" s="9"/>
      <c r="J93" s="16"/>
    </row>
    <row r="94" spans="1:10" ht="22.5" customHeight="1" x14ac:dyDescent="0.15">
      <c r="A94" s="6"/>
      <c r="B94" s="14" t="s">
        <v>216</v>
      </c>
      <c r="C94" s="8" t="s">
        <v>220</v>
      </c>
      <c r="D94" s="10">
        <v>82</v>
      </c>
      <c r="E94" s="11">
        <f>COUNTIF(G:G,"再就业")+COUNTIF(G:G,"小贷")</f>
        <v>0</v>
      </c>
      <c r="F94" s="11">
        <f t="shared" si="0"/>
        <v>82</v>
      </c>
      <c r="G94" s="10"/>
      <c r="H94" s="10"/>
      <c r="I94" s="11"/>
      <c r="J94" s="16"/>
    </row>
    <row r="95" spans="1:10" ht="22.5" customHeight="1" x14ac:dyDescent="0.15">
      <c r="A95" s="6"/>
      <c r="B95" s="14" t="s">
        <v>216</v>
      </c>
      <c r="C95" s="8" t="s">
        <v>221</v>
      </c>
      <c r="D95" s="10">
        <v>1</v>
      </c>
      <c r="E95" s="11">
        <f>COUNTIF(G:G,C95)</f>
        <v>0</v>
      </c>
      <c r="F95" s="11">
        <f t="shared" si="0"/>
        <v>1</v>
      </c>
      <c r="G95" s="10"/>
      <c r="H95" s="10"/>
      <c r="I95" s="11"/>
      <c r="J95" s="16"/>
    </row>
    <row r="96" spans="1:10" ht="22.5" customHeight="1" x14ac:dyDescent="0.15">
      <c r="A96" s="6"/>
      <c r="B96" s="14" t="s">
        <v>216</v>
      </c>
      <c r="C96" s="8" t="s">
        <v>16</v>
      </c>
      <c r="D96" s="10">
        <v>613</v>
      </c>
      <c r="E96" s="11">
        <f>COUNTIF(G:G,C96)</f>
        <v>2</v>
      </c>
      <c r="F96" s="11">
        <f t="shared" si="0"/>
        <v>615</v>
      </c>
      <c r="G96" s="10"/>
      <c r="H96" s="10"/>
      <c r="I96" s="11"/>
      <c r="J96" s="16"/>
    </row>
    <row r="97" spans="1:11" ht="22.5" customHeight="1" x14ac:dyDescent="0.15">
      <c r="A97" s="6"/>
      <c r="B97" s="14" t="s">
        <v>216</v>
      </c>
      <c r="C97" s="8" t="s">
        <v>49</v>
      </c>
      <c r="D97" s="10">
        <v>916</v>
      </c>
      <c r="E97" s="11">
        <f>COUNTIF(G:G,"*车*")</f>
        <v>80</v>
      </c>
      <c r="F97" s="11">
        <f t="shared" si="0"/>
        <v>996</v>
      </c>
      <c r="G97" s="10"/>
      <c r="H97" s="10"/>
      <c r="I97" s="11"/>
      <c r="J97" s="16"/>
    </row>
    <row r="98" spans="1:11" ht="22.5" customHeight="1" x14ac:dyDescent="0.15">
      <c r="A98" s="6"/>
      <c r="B98" s="14" t="s">
        <v>216</v>
      </c>
      <c r="C98" s="8" t="s">
        <v>21</v>
      </c>
      <c r="D98" s="10">
        <v>4485</v>
      </c>
      <c r="E98" s="11">
        <f>COUNTIF(G:G,C98)</f>
        <v>2</v>
      </c>
      <c r="F98" s="11">
        <f t="shared" si="0"/>
        <v>4487</v>
      </c>
      <c r="G98" s="10"/>
      <c r="H98" s="10"/>
      <c r="I98" s="11"/>
      <c r="J98" s="16"/>
    </row>
    <row r="99" spans="1:11" ht="22.5" customHeight="1" x14ac:dyDescent="0.15">
      <c r="A99" s="6"/>
      <c r="B99" s="14" t="s">
        <v>216</v>
      </c>
      <c r="C99" s="15" t="s">
        <v>222</v>
      </c>
      <c r="D99" s="16">
        <v>42</v>
      </c>
      <c r="E99" s="11">
        <f>COUNTIF(G:G,C99)</f>
        <v>0</v>
      </c>
      <c r="F99" s="11">
        <f t="shared" si="0"/>
        <v>42</v>
      </c>
      <c r="G99" s="16"/>
      <c r="H99" s="16"/>
      <c r="I99" s="14"/>
      <c r="J99" s="16"/>
    </row>
    <row r="100" spans="1:11" ht="22.5" customHeight="1" x14ac:dyDescent="0.15">
      <c r="A100" s="24"/>
      <c r="B100" s="24"/>
      <c r="C100" s="25"/>
      <c r="D100" s="26">
        <f t="shared" ref="D100:F100" si="1">SUM(D91:D99)</f>
        <v>7507</v>
      </c>
      <c r="E100" s="26">
        <f t="shared" si="1"/>
        <v>84</v>
      </c>
      <c r="F100" s="26">
        <f t="shared" si="1"/>
        <v>7591</v>
      </c>
      <c r="G100" s="19"/>
      <c r="H100" s="19"/>
      <c r="I100" s="18"/>
      <c r="J100" s="18"/>
    </row>
    <row r="101" spans="1:11" ht="39.950000000000003" customHeight="1" x14ac:dyDescent="0.15">
      <c r="A101" s="55" t="s">
        <v>223</v>
      </c>
      <c r="B101" s="55"/>
      <c r="C101" s="56"/>
      <c r="D101" s="55"/>
      <c r="E101" s="55"/>
      <c r="F101" s="57"/>
      <c r="G101" s="21"/>
      <c r="H101" s="22"/>
      <c r="I101" s="22"/>
      <c r="J101" s="22"/>
    </row>
    <row r="102" spans="1:11" ht="36.950000000000003" customHeight="1" x14ac:dyDescent="0.15">
      <c r="A102" s="58" t="s">
        <v>224</v>
      </c>
      <c r="B102" s="58"/>
      <c r="C102" s="27"/>
      <c r="D102" s="59" t="s">
        <v>225</v>
      </c>
      <c r="E102" s="57"/>
      <c r="F102" s="28"/>
      <c r="G102" s="21"/>
      <c r="H102" s="22"/>
      <c r="I102" s="22"/>
      <c r="J102" s="22"/>
    </row>
    <row r="103" spans="1:11" ht="36" customHeight="1" x14ac:dyDescent="0.15">
      <c r="A103" s="58" t="s">
        <v>226</v>
      </c>
      <c r="B103" s="58"/>
      <c r="C103" s="29"/>
      <c r="D103" s="59" t="s">
        <v>225</v>
      </c>
      <c r="E103" s="57"/>
      <c r="F103" s="30"/>
      <c r="G103" s="21"/>
      <c r="H103" s="22"/>
      <c r="I103" s="22"/>
      <c r="J103" s="22"/>
    </row>
    <row r="104" spans="1:11" ht="27" customHeight="1" x14ac:dyDescent="0.15">
      <c r="A104" s="58" t="s">
        <v>227</v>
      </c>
      <c r="B104" s="58"/>
      <c r="C104" s="29"/>
      <c r="D104" s="60" t="s">
        <v>225</v>
      </c>
      <c r="E104" s="61"/>
      <c r="F104" s="31"/>
      <c r="G104" s="32"/>
      <c r="H104" s="33"/>
      <c r="I104" s="33"/>
      <c r="J104" s="33"/>
    </row>
    <row r="105" spans="1:11" ht="30" customHeight="1" x14ac:dyDescent="0.15">
      <c r="A105" s="58" t="s">
        <v>227</v>
      </c>
      <c r="B105" s="58"/>
      <c r="C105" s="34"/>
      <c r="D105" s="60" t="s">
        <v>225</v>
      </c>
      <c r="E105" s="60"/>
      <c r="F105" s="6"/>
      <c r="G105" s="6"/>
      <c r="H105" s="5"/>
      <c r="I105" s="5"/>
      <c r="J105" s="35"/>
      <c r="K105" s="36"/>
    </row>
    <row r="106" spans="1:11" ht="22.5" customHeight="1" x14ac:dyDescent="0.15"/>
    <row r="140" spans="1:10" ht="13.5" x14ac:dyDescent="0.15">
      <c r="A140" s="62"/>
      <c r="B140" s="62"/>
      <c r="C140" s="63"/>
      <c r="D140" s="63"/>
      <c r="E140" s="63"/>
      <c r="F140" s="63"/>
      <c r="G140" s="63"/>
      <c r="H140" s="63"/>
      <c r="I140" s="63"/>
      <c r="J140" s="63"/>
    </row>
    <row r="141" spans="1:10" ht="13.5" x14ac:dyDescent="0.15">
      <c r="A141" s="62"/>
      <c r="B141" s="62"/>
      <c r="C141" s="63"/>
      <c r="D141" s="63"/>
      <c r="E141" s="63"/>
      <c r="F141" s="63"/>
      <c r="G141" s="63"/>
      <c r="H141" s="63"/>
      <c r="I141" s="63"/>
      <c r="J141" s="63"/>
    </row>
    <row r="142" spans="1:10" ht="13.5" x14ac:dyDescent="0.15">
      <c r="A142" s="62"/>
      <c r="B142" s="62"/>
      <c r="C142" s="63"/>
      <c r="D142" s="63"/>
      <c r="E142" s="63"/>
      <c r="F142" s="63"/>
      <c r="G142" s="63"/>
      <c r="H142" s="63"/>
      <c r="I142" s="63"/>
      <c r="J142" s="63"/>
    </row>
    <row r="143" spans="1:10" ht="13.5" x14ac:dyDescent="0.15">
      <c r="A143" s="62"/>
      <c r="B143" s="62"/>
      <c r="C143" s="63"/>
      <c r="D143" s="63"/>
      <c r="E143" s="63"/>
      <c r="F143" s="63"/>
      <c r="G143" s="63"/>
      <c r="H143" s="63"/>
      <c r="I143" s="63"/>
      <c r="J143" s="63"/>
    </row>
    <row r="144" spans="1:10" ht="13.5" x14ac:dyDescent="0.15">
      <c r="A144" s="62"/>
      <c r="B144" s="62"/>
      <c r="C144" s="63"/>
      <c r="D144" s="63"/>
      <c r="E144" s="63"/>
      <c r="F144" s="63"/>
      <c r="G144" s="63"/>
      <c r="H144" s="63"/>
      <c r="I144" s="63"/>
      <c r="J144" s="63"/>
    </row>
    <row r="145" spans="1:10" ht="13.5" x14ac:dyDescent="0.15">
      <c r="A145" s="62"/>
      <c r="B145" s="62"/>
      <c r="C145" s="63"/>
      <c r="D145" s="63"/>
      <c r="E145" s="63"/>
      <c r="F145" s="63"/>
      <c r="G145" s="63"/>
      <c r="H145" s="63"/>
      <c r="I145" s="63"/>
      <c r="J145" s="63"/>
    </row>
    <row r="146" spans="1:10" ht="13.5" x14ac:dyDescent="0.15">
      <c r="A146" s="62"/>
      <c r="B146" s="62"/>
      <c r="C146" s="63"/>
      <c r="D146" s="63"/>
      <c r="E146" s="63"/>
      <c r="F146" s="63"/>
      <c r="G146" s="63"/>
      <c r="H146" s="63"/>
      <c r="I146" s="63"/>
      <c r="J146" s="63"/>
    </row>
    <row r="147" spans="1:10" ht="13.5" x14ac:dyDescent="0.15">
      <c r="A147" s="62"/>
      <c r="B147" s="62"/>
      <c r="C147" s="63"/>
      <c r="D147" s="63"/>
      <c r="E147" s="63"/>
      <c r="F147" s="63"/>
      <c r="G147" s="63"/>
      <c r="H147" s="63"/>
      <c r="I147" s="63"/>
      <c r="J147" s="63"/>
    </row>
    <row r="148" spans="1:10" ht="13.5" x14ac:dyDescent="0.15">
      <c r="A148" s="62"/>
      <c r="B148" s="62"/>
      <c r="C148" s="63"/>
      <c r="D148" s="63"/>
      <c r="E148" s="62"/>
      <c r="F148" s="63"/>
      <c r="G148" s="63"/>
      <c r="H148" s="62"/>
      <c r="I148" s="62"/>
      <c r="J148" s="62"/>
    </row>
  </sheetData>
  <autoFilter ref="B4:I88" xr:uid="{00000000-0009-0000-0000-000001000000}"/>
  <mergeCells count="18">
    <mergeCell ref="A148:J148"/>
    <mergeCell ref="A140:B147"/>
    <mergeCell ref="C140:J141"/>
    <mergeCell ref="C142:J143"/>
    <mergeCell ref="C144:J145"/>
    <mergeCell ref="C146:J147"/>
    <mergeCell ref="A103:B103"/>
    <mergeCell ref="D103:E103"/>
    <mergeCell ref="A104:B104"/>
    <mergeCell ref="D104:E104"/>
    <mergeCell ref="A105:B105"/>
    <mergeCell ref="D105:E105"/>
    <mergeCell ref="A1:J1"/>
    <mergeCell ref="A2:J2"/>
    <mergeCell ref="A3:J3"/>
    <mergeCell ref="A101:F101"/>
    <mergeCell ref="A102:B102"/>
    <mergeCell ref="D102:E102"/>
  </mergeCells>
  <phoneticPr fontId="11" type="noConversion"/>
  <dataValidations count="1">
    <dataValidation type="list" allowBlank="1" showInputMessage="1" showErrorMessage="1" sqref="J92:J96 J97:J99" xr:uid="{00000000-0002-0000-0100-000000000000}">
      <formula1>$U$2:$U$3</formula1>
    </dataValidation>
  </dataValidations>
  <pageMargins left="0.70069444444444495" right="0.70069444444444495" top="0.75138888888888899" bottom="0.75138888888888899" header="0.29861111111111099" footer="0.29861111111111099"/>
  <pageSetup paperSize="9" scale="79" fitToHeight="0" orientation="portrait" r:id="rId1"/>
  <headerFooter>
    <oddFooter>&amp;C第 &amp;P 页，共 &amp;N 页</oddFooter>
  </headerFooter>
  <rowBreaks count="1" manualBreakCount="1">
    <brk id="90" max="9" man="1"/>
  </rowBreaks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pageSetUpPr fitToPage="1"/>
  </sheetPr>
  <dimension ref="A1:K168"/>
  <sheetViews>
    <sheetView view="pageBreakPreview" zoomScale="115" zoomScaleNormal="100" workbookViewId="0">
      <pane ySplit="4" topLeftCell="A100" activePane="bottomLeft" state="frozen"/>
      <selection pane="bottomLeft" activeCell="B105" sqref="B105"/>
    </sheetView>
  </sheetViews>
  <sheetFormatPr defaultColWidth="9" defaultRowHeight="23.25" customHeight="1" x14ac:dyDescent="0.15"/>
  <cols>
    <col min="1" max="1" width="5.875" style="2" customWidth="1"/>
    <col min="2" max="2" width="7.625" style="2" customWidth="1"/>
    <col min="3" max="3" width="13" style="4" customWidth="1"/>
    <col min="4" max="4" width="13.25" style="4" customWidth="1"/>
    <col min="5" max="5" width="14.375" style="2" customWidth="1"/>
    <col min="6" max="6" width="11.5" style="4"/>
    <col min="7" max="7" width="8.125" style="4" customWidth="1"/>
    <col min="8" max="8" width="18.125" style="2" customWidth="1"/>
    <col min="9" max="9" width="13.12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9" t="s">
        <v>9</v>
      </c>
      <c r="H4" s="38" t="s">
        <v>10</v>
      </c>
      <c r="I4" s="38" t="s">
        <v>11</v>
      </c>
      <c r="J4" s="37" t="s">
        <v>12</v>
      </c>
    </row>
    <row r="5" spans="1:10" s="3" customFormat="1" ht="30" customHeight="1" x14ac:dyDescent="0.15">
      <c r="A5" s="7">
        <v>1</v>
      </c>
      <c r="B5" s="15">
        <v>2153</v>
      </c>
      <c r="C5" s="17" t="s">
        <v>573</v>
      </c>
      <c r="D5" s="43" t="s">
        <v>574</v>
      </c>
      <c r="E5" s="17" t="s">
        <v>575</v>
      </c>
      <c r="F5" s="17" t="s">
        <v>575</v>
      </c>
      <c r="G5" s="15" t="s">
        <v>49</v>
      </c>
      <c r="H5" s="40" t="s">
        <v>576</v>
      </c>
      <c r="I5" s="16">
        <v>27</v>
      </c>
      <c r="J5" s="9"/>
    </row>
    <row r="6" spans="1:10" s="3" customFormat="1" ht="24" x14ac:dyDescent="0.15">
      <c r="A6" s="7">
        <v>2</v>
      </c>
      <c r="B6" s="15">
        <v>2154</v>
      </c>
      <c r="C6" s="17" t="s">
        <v>577</v>
      </c>
      <c r="D6" s="16" t="s">
        <v>578</v>
      </c>
      <c r="E6" s="17" t="s">
        <v>579</v>
      </c>
      <c r="F6" s="17" t="s">
        <v>579</v>
      </c>
      <c r="G6" s="15" t="s">
        <v>49</v>
      </c>
      <c r="H6" s="40" t="s">
        <v>580</v>
      </c>
      <c r="I6" s="14">
        <v>12.8</v>
      </c>
      <c r="J6" s="9"/>
    </row>
    <row r="7" spans="1:10" s="3" customFormat="1" ht="24" x14ac:dyDescent="0.15">
      <c r="A7" s="7">
        <v>3</v>
      </c>
      <c r="B7" s="15">
        <v>2155</v>
      </c>
      <c r="C7" s="17" t="s">
        <v>581</v>
      </c>
      <c r="D7" s="16" t="s">
        <v>582</v>
      </c>
      <c r="E7" s="17" t="s">
        <v>583</v>
      </c>
      <c r="F7" s="17" t="s">
        <v>583</v>
      </c>
      <c r="G7" s="15" t="s">
        <v>49</v>
      </c>
      <c r="H7" s="44" t="s">
        <v>584</v>
      </c>
      <c r="I7" s="14">
        <v>15</v>
      </c>
      <c r="J7" s="9"/>
    </row>
    <row r="8" spans="1:10" s="3" customFormat="1" ht="24" x14ac:dyDescent="0.15">
      <c r="A8" s="7">
        <v>4</v>
      </c>
      <c r="B8" s="15">
        <v>2156</v>
      </c>
      <c r="C8" s="17" t="s">
        <v>585</v>
      </c>
      <c r="D8" s="16" t="s">
        <v>586</v>
      </c>
      <c r="E8" s="17" t="s">
        <v>587</v>
      </c>
      <c r="F8" s="17" t="s">
        <v>587</v>
      </c>
      <c r="G8" s="15" t="s">
        <v>49</v>
      </c>
      <c r="H8" s="40" t="s">
        <v>588</v>
      </c>
      <c r="I8" s="14">
        <v>13</v>
      </c>
      <c r="J8" s="9"/>
    </row>
    <row r="9" spans="1:10" s="3" customFormat="1" ht="24" x14ac:dyDescent="0.15">
      <c r="A9" s="7">
        <v>5</v>
      </c>
      <c r="B9" s="15">
        <v>2157</v>
      </c>
      <c r="C9" s="17" t="s">
        <v>589</v>
      </c>
      <c r="D9" s="16" t="s">
        <v>590</v>
      </c>
      <c r="E9" s="17" t="s">
        <v>312</v>
      </c>
      <c r="F9" s="17" t="s">
        <v>312</v>
      </c>
      <c r="G9" s="15" t="s">
        <v>49</v>
      </c>
      <c r="H9" s="40" t="s">
        <v>591</v>
      </c>
      <c r="I9" s="14">
        <v>30.6</v>
      </c>
      <c r="J9" s="9"/>
    </row>
    <row r="10" spans="1:10" s="3" customFormat="1" ht="24" x14ac:dyDescent="0.15">
      <c r="A10" s="7">
        <v>6</v>
      </c>
      <c r="B10" s="15">
        <v>2158</v>
      </c>
      <c r="C10" s="17" t="s">
        <v>592</v>
      </c>
      <c r="D10" s="16" t="s">
        <v>593</v>
      </c>
      <c r="E10" s="17" t="s">
        <v>594</v>
      </c>
      <c r="F10" s="17" t="s">
        <v>594</v>
      </c>
      <c r="G10" s="15" t="s">
        <v>49</v>
      </c>
      <c r="H10" s="40" t="s">
        <v>595</v>
      </c>
      <c r="I10" s="14">
        <v>19.84</v>
      </c>
      <c r="J10" s="9"/>
    </row>
    <row r="11" spans="1:10" s="3" customFormat="1" ht="24" x14ac:dyDescent="0.15">
      <c r="A11" s="7">
        <v>7</v>
      </c>
      <c r="B11" s="15">
        <v>2159</v>
      </c>
      <c r="C11" s="17" t="s">
        <v>596</v>
      </c>
      <c r="D11" s="16" t="s">
        <v>597</v>
      </c>
      <c r="E11" s="17" t="s">
        <v>598</v>
      </c>
      <c r="F11" s="17" t="s">
        <v>598</v>
      </c>
      <c r="G11" s="15" t="s">
        <v>49</v>
      </c>
      <c r="H11" s="40" t="s">
        <v>599</v>
      </c>
      <c r="I11" s="14">
        <v>26</v>
      </c>
      <c r="J11" s="9"/>
    </row>
    <row r="12" spans="1:10" s="3" customFormat="1" ht="24" x14ac:dyDescent="0.15">
      <c r="A12" s="7">
        <v>8</v>
      </c>
      <c r="B12" s="15">
        <v>2160</v>
      </c>
      <c r="C12" s="17" t="s">
        <v>600</v>
      </c>
      <c r="D12" s="16" t="s">
        <v>601</v>
      </c>
      <c r="E12" s="17" t="s">
        <v>602</v>
      </c>
      <c r="F12" s="17" t="s">
        <v>602</v>
      </c>
      <c r="G12" s="15" t="s">
        <v>49</v>
      </c>
      <c r="H12" s="40" t="s">
        <v>603</v>
      </c>
      <c r="I12" s="14">
        <v>27</v>
      </c>
      <c r="J12" s="9"/>
    </row>
    <row r="13" spans="1:10" s="3" customFormat="1" ht="24" x14ac:dyDescent="0.15">
      <c r="A13" s="7">
        <v>9</v>
      </c>
      <c r="B13" s="15">
        <v>2161</v>
      </c>
      <c r="C13" s="17" t="s">
        <v>604</v>
      </c>
      <c r="D13" s="16" t="s">
        <v>605</v>
      </c>
      <c r="E13" s="17" t="s">
        <v>606</v>
      </c>
      <c r="F13" s="17" t="s">
        <v>606</v>
      </c>
      <c r="G13" s="15" t="s">
        <v>49</v>
      </c>
      <c r="H13" s="40" t="s">
        <v>607</v>
      </c>
      <c r="I13" s="14">
        <v>19</v>
      </c>
      <c r="J13" s="9"/>
    </row>
    <row r="14" spans="1:10" s="3" customFormat="1" ht="24" x14ac:dyDescent="0.15">
      <c r="A14" s="7">
        <v>10</v>
      </c>
      <c r="B14" s="15">
        <v>2162</v>
      </c>
      <c r="C14" s="17" t="s">
        <v>608</v>
      </c>
      <c r="D14" s="16" t="s">
        <v>609</v>
      </c>
      <c r="E14" s="17" t="s">
        <v>610</v>
      </c>
      <c r="F14" s="17" t="s">
        <v>610</v>
      </c>
      <c r="G14" s="15" t="s">
        <v>49</v>
      </c>
      <c r="H14" s="40" t="s">
        <v>611</v>
      </c>
      <c r="I14" s="14">
        <v>25</v>
      </c>
      <c r="J14" s="9"/>
    </row>
    <row r="15" spans="1:10" s="3" customFormat="1" ht="24" x14ac:dyDescent="0.15">
      <c r="A15" s="7">
        <v>11</v>
      </c>
      <c r="B15" s="15">
        <v>2163</v>
      </c>
      <c r="C15" s="17" t="s">
        <v>612</v>
      </c>
      <c r="D15" s="16" t="s">
        <v>613</v>
      </c>
      <c r="E15" s="17" t="s">
        <v>614</v>
      </c>
      <c r="F15" s="17" t="s">
        <v>614</v>
      </c>
      <c r="G15" s="15" t="s">
        <v>49</v>
      </c>
      <c r="H15" s="40" t="s">
        <v>615</v>
      </c>
      <c r="I15" s="14">
        <v>28</v>
      </c>
      <c r="J15" s="9"/>
    </row>
    <row r="16" spans="1:10" s="3" customFormat="1" ht="24" x14ac:dyDescent="0.15">
      <c r="A16" s="7">
        <v>12</v>
      </c>
      <c r="B16" s="15">
        <v>2164</v>
      </c>
      <c r="C16" s="17" t="s">
        <v>616</v>
      </c>
      <c r="D16" s="16" t="s">
        <v>617</v>
      </c>
      <c r="E16" s="17" t="s">
        <v>618</v>
      </c>
      <c r="F16" s="17" t="s">
        <v>618</v>
      </c>
      <c r="G16" s="15" t="s">
        <v>49</v>
      </c>
      <c r="H16" s="40" t="s">
        <v>619</v>
      </c>
      <c r="I16" s="14">
        <v>20</v>
      </c>
      <c r="J16" s="9"/>
    </row>
    <row r="17" spans="1:10" s="3" customFormat="1" ht="24" x14ac:dyDescent="0.15">
      <c r="A17" s="7">
        <v>13</v>
      </c>
      <c r="B17" s="15">
        <v>2165</v>
      </c>
      <c r="C17" s="17" t="s">
        <v>620</v>
      </c>
      <c r="D17" s="16" t="s">
        <v>621</v>
      </c>
      <c r="E17" s="17" t="s">
        <v>622</v>
      </c>
      <c r="F17" s="17" t="s">
        <v>622</v>
      </c>
      <c r="G17" s="15" t="s">
        <v>49</v>
      </c>
      <c r="H17" s="44" t="s">
        <v>623</v>
      </c>
      <c r="I17" s="14">
        <v>28</v>
      </c>
      <c r="J17" s="9"/>
    </row>
    <row r="18" spans="1:10" s="3" customFormat="1" ht="24" x14ac:dyDescent="0.15">
      <c r="A18" s="7">
        <v>14</v>
      </c>
      <c r="B18" s="15">
        <v>2166</v>
      </c>
      <c r="C18" s="17" t="s">
        <v>624</v>
      </c>
      <c r="D18" s="16" t="s">
        <v>625</v>
      </c>
      <c r="E18" s="17" t="s">
        <v>626</v>
      </c>
      <c r="F18" s="17" t="s">
        <v>626</v>
      </c>
      <c r="G18" s="15" t="s">
        <v>49</v>
      </c>
      <c r="H18" s="40" t="s">
        <v>627</v>
      </c>
      <c r="I18" s="14">
        <v>30</v>
      </c>
      <c r="J18" s="9"/>
    </row>
    <row r="19" spans="1:10" s="3" customFormat="1" ht="24" x14ac:dyDescent="0.15">
      <c r="A19" s="7">
        <v>15</v>
      </c>
      <c r="B19" s="15">
        <v>2167</v>
      </c>
      <c r="C19" s="17" t="s">
        <v>628</v>
      </c>
      <c r="D19" s="16" t="s">
        <v>629</v>
      </c>
      <c r="E19" s="17" t="s">
        <v>630</v>
      </c>
      <c r="F19" s="17" t="s">
        <v>630</v>
      </c>
      <c r="G19" s="15" t="s">
        <v>49</v>
      </c>
      <c r="H19" s="40" t="s">
        <v>631</v>
      </c>
      <c r="I19" s="14">
        <v>20</v>
      </c>
      <c r="J19" s="9"/>
    </row>
    <row r="20" spans="1:10" s="3" customFormat="1" ht="24" x14ac:dyDescent="0.15">
      <c r="A20" s="7">
        <v>16</v>
      </c>
      <c r="B20" s="15">
        <v>2168</v>
      </c>
      <c r="C20" s="17" t="s">
        <v>632</v>
      </c>
      <c r="D20" s="16" t="s">
        <v>633</v>
      </c>
      <c r="E20" s="17" t="s">
        <v>634</v>
      </c>
      <c r="F20" s="17" t="s">
        <v>634</v>
      </c>
      <c r="G20" s="15" t="s">
        <v>49</v>
      </c>
      <c r="H20" s="40" t="s">
        <v>635</v>
      </c>
      <c r="I20" s="14">
        <v>24.8</v>
      </c>
      <c r="J20" s="9"/>
    </row>
    <row r="21" spans="1:10" s="3" customFormat="1" ht="24" x14ac:dyDescent="0.15">
      <c r="A21" s="7">
        <v>17</v>
      </c>
      <c r="B21" s="15">
        <v>2169</v>
      </c>
      <c r="C21" s="17" t="s">
        <v>636</v>
      </c>
      <c r="D21" s="16" t="s">
        <v>637</v>
      </c>
      <c r="E21" s="17" t="s">
        <v>638</v>
      </c>
      <c r="F21" s="17" t="s">
        <v>638</v>
      </c>
      <c r="G21" s="15" t="s">
        <v>49</v>
      </c>
      <c r="H21" s="40" t="s">
        <v>639</v>
      </c>
      <c r="I21" s="14">
        <v>13</v>
      </c>
      <c r="J21" s="9"/>
    </row>
    <row r="22" spans="1:10" s="3" customFormat="1" ht="24" x14ac:dyDescent="0.15">
      <c r="A22" s="7">
        <v>18</v>
      </c>
      <c r="B22" s="15">
        <v>2170</v>
      </c>
      <c r="C22" s="17" t="s">
        <v>640</v>
      </c>
      <c r="D22" s="16" t="s">
        <v>641</v>
      </c>
      <c r="E22" s="17" t="s">
        <v>642</v>
      </c>
      <c r="F22" s="17" t="s">
        <v>642</v>
      </c>
      <c r="G22" s="15" t="s">
        <v>49</v>
      </c>
      <c r="H22" s="40" t="s">
        <v>643</v>
      </c>
      <c r="I22" s="14">
        <v>22.8</v>
      </c>
      <c r="J22" s="9"/>
    </row>
    <row r="23" spans="1:10" s="3" customFormat="1" ht="24" x14ac:dyDescent="0.15">
      <c r="A23" s="7">
        <v>19</v>
      </c>
      <c r="B23" s="15">
        <v>2171</v>
      </c>
      <c r="C23" s="17" t="s">
        <v>644</v>
      </c>
      <c r="D23" s="16" t="s">
        <v>645</v>
      </c>
      <c r="E23" s="17" t="s">
        <v>646</v>
      </c>
      <c r="F23" s="17" t="s">
        <v>646</v>
      </c>
      <c r="G23" s="15" t="s">
        <v>49</v>
      </c>
      <c r="H23" s="40" t="s">
        <v>647</v>
      </c>
      <c r="I23" s="14">
        <v>24</v>
      </c>
      <c r="J23" s="9"/>
    </row>
    <row r="24" spans="1:10" s="3" customFormat="1" ht="24" x14ac:dyDescent="0.15">
      <c r="A24" s="7">
        <v>20</v>
      </c>
      <c r="B24" s="15">
        <v>2172</v>
      </c>
      <c r="C24" s="17" t="s">
        <v>648</v>
      </c>
      <c r="D24" s="16" t="s">
        <v>649</v>
      </c>
      <c r="E24" s="17" t="s">
        <v>650</v>
      </c>
      <c r="F24" s="17" t="s">
        <v>650</v>
      </c>
      <c r="G24" s="15" t="s">
        <v>49</v>
      </c>
      <c r="H24" s="40" t="s">
        <v>651</v>
      </c>
      <c r="I24" s="14">
        <v>15</v>
      </c>
      <c r="J24" s="9"/>
    </row>
    <row r="25" spans="1:10" s="3" customFormat="1" ht="24" x14ac:dyDescent="0.15">
      <c r="A25" s="7">
        <v>21</v>
      </c>
      <c r="B25" s="15">
        <v>2173</v>
      </c>
      <c r="C25" s="17" t="s">
        <v>652</v>
      </c>
      <c r="D25" s="16" t="s">
        <v>653</v>
      </c>
      <c r="E25" s="17" t="s">
        <v>654</v>
      </c>
      <c r="F25" s="17" t="s">
        <v>654</v>
      </c>
      <c r="G25" s="15" t="s">
        <v>49</v>
      </c>
      <c r="H25" s="44" t="s">
        <v>655</v>
      </c>
      <c r="I25" s="14">
        <v>39.5</v>
      </c>
      <c r="J25" s="9"/>
    </row>
    <row r="26" spans="1:10" s="3" customFormat="1" ht="24" x14ac:dyDescent="0.15">
      <c r="A26" s="7">
        <v>22</v>
      </c>
      <c r="B26" s="15">
        <v>2174</v>
      </c>
      <c r="C26" s="17" t="s">
        <v>656</v>
      </c>
      <c r="D26" s="16" t="s">
        <v>657</v>
      </c>
      <c r="E26" s="17" t="s">
        <v>658</v>
      </c>
      <c r="F26" s="17" t="s">
        <v>658</v>
      </c>
      <c r="G26" s="15" t="s">
        <v>49</v>
      </c>
      <c r="H26" s="40" t="s">
        <v>659</v>
      </c>
      <c r="I26" s="14">
        <v>24.3</v>
      </c>
      <c r="J26" s="9"/>
    </row>
    <row r="27" spans="1:10" s="3" customFormat="1" ht="24" x14ac:dyDescent="0.15">
      <c r="A27" s="7">
        <v>23</v>
      </c>
      <c r="B27" s="15">
        <v>2175</v>
      </c>
      <c r="C27" s="17" t="s">
        <v>660</v>
      </c>
      <c r="D27" s="16" t="s">
        <v>661</v>
      </c>
      <c r="E27" s="17" t="s">
        <v>662</v>
      </c>
      <c r="F27" s="17" t="s">
        <v>662</v>
      </c>
      <c r="G27" s="15" t="s">
        <v>49</v>
      </c>
      <c r="H27" s="40" t="s">
        <v>663</v>
      </c>
      <c r="I27" s="14">
        <v>28</v>
      </c>
      <c r="J27" s="9"/>
    </row>
    <row r="28" spans="1:10" s="3" customFormat="1" ht="24" x14ac:dyDescent="0.15">
      <c r="A28" s="7">
        <v>24</v>
      </c>
      <c r="B28" s="15">
        <v>2176</v>
      </c>
      <c r="C28" s="17" t="s">
        <v>664</v>
      </c>
      <c r="D28" s="16" t="s">
        <v>665</v>
      </c>
      <c r="E28" s="17" t="s">
        <v>666</v>
      </c>
      <c r="F28" s="17" t="s">
        <v>666</v>
      </c>
      <c r="G28" s="15" t="s">
        <v>49</v>
      </c>
      <c r="H28" s="40" t="s">
        <v>667</v>
      </c>
      <c r="I28" s="14">
        <v>15</v>
      </c>
      <c r="J28" s="9"/>
    </row>
    <row r="29" spans="1:10" s="3" customFormat="1" ht="24" x14ac:dyDescent="0.15">
      <c r="A29" s="7">
        <v>25</v>
      </c>
      <c r="B29" s="15">
        <v>2177</v>
      </c>
      <c r="C29" s="17" t="s">
        <v>668</v>
      </c>
      <c r="D29" s="16" t="s">
        <v>669</v>
      </c>
      <c r="E29" s="17" t="s">
        <v>670</v>
      </c>
      <c r="F29" s="17" t="s">
        <v>670</v>
      </c>
      <c r="G29" s="15" t="s">
        <v>49</v>
      </c>
      <c r="H29" s="40" t="s">
        <v>671</v>
      </c>
      <c r="I29" s="14">
        <v>22</v>
      </c>
      <c r="J29" s="9"/>
    </row>
    <row r="30" spans="1:10" s="3" customFormat="1" ht="24" x14ac:dyDescent="0.15">
      <c r="A30" s="7">
        <v>26</v>
      </c>
      <c r="B30" s="15">
        <v>2178</v>
      </c>
      <c r="C30" s="17" t="s">
        <v>672</v>
      </c>
      <c r="D30" s="16" t="s">
        <v>673</v>
      </c>
      <c r="E30" s="17" t="s">
        <v>674</v>
      </c>
      <c r="F30" s="17" t="s">
        <v>674</v>
      </c>
      <c r="G30" s="15" t="s">
        <v>49</v>
      </c>
      <c r="H30" s="40" t="s">
        <v>675</v>
      </c>
      <c r="I30" s="14">
        <v>36</v>
      </c>
      <c r="J30" s="9"/>
    </row>
    <row r="31" spans="1:10" s="3" customFormat="1" ht="24" x14ac:dyDescent="0.15">
      <c r="A31" s="7">
        <v>27</v>
      </c>
      <c r="B31" s="15">
        <v>2179</v>
      </c>
      <c r="C31" s="17" t="s">
        <v>676</v>
      </c>
      <c r="D31" s="16" t="s">
        <v>677</v>
      </c>
      <c r="E31" s="17" t="s">
        <v>678</v>
      </c>
      <c r="F31" s="17" t="s">
        <v>678</v>
      </c>
      <c r="G31" s="15" t="s">
        <v>49</v>
      </c>
      <c r="H31" s="40" t="s">
        <v>679</v>
      </c>
      <c r="I31" s="14">
        <v>24</v>
      </c>
      <c r="J31" s="9"/>
    </row>
    <row r="32" spans="1:10" s="3" customFormat="1" ht="24" x14ac:dyDescent="0.15">
      <c r="A32" s="7">
        <v>28</v>
      </c>
      <c r="B32" s="15">
        <v>2180</v>
      </c>
      <c r="C32" s="17" t="s">
        <v>680</v>
      </c>
      <c r="D32" s="16" t="s">
        <v>681</v>
      </c>
      <c r="E32" s="17" t="s">
        <v>682</v>
      </c>
      <c r="F32" s="17" t="s">
        <v>682</v>
      </c>
      <c r="G32" s="15" t="s">
        <v>49</v>
      </c>
      <c r="H32" s="44" t="s">
        <v>683</v>
      </c>
      <c r="I32" s="14">
        <v>31.52</v>
      </c>
      <c r="J32" s="9"/>
    </row>
    <row r="33" spans="1:10" s="3" customFormat="1" ht="24" x14ac:dyDescent="0.15">
      <c r="A33" s="7">
        <v>29</v>
      </c>
      <c r="B33" s="15">
        <v>2181</v>
      </c>
      <c r="C33" s="17" t="s">
        <v>684</v>
      </c>
      <c r="D33" s="16" t="s">
        <v>685</v>
      </c>
      <c r="E33" s="17" t="s">
        <v>686</v>
      </c>
      <c r="F33" s="17" t="s">
        <v>686</v>
      </c>
      <c r="G33" s="15" t="s">
        <v>49</v>
      </c>
      <c r="H33" s="44" t="s">
        <v>687</v>
      </c>
      <c r="I33" s="14">
        <v>18</v>
      </c>
      <c r="J33" s="9"/>
    </row>
    <row r="34" spans="1:10" s="3" customFormat="1" ht="24" x14ac:dyDescent="0.15">
      <c r="A34" s="7">
        <v>30</v>
      </c>
      <c r="B34" s="15">
        <v>2182</v>
      </c>
      <c r="C34" s="17" t="s">
        <v>688</v>
      </c>
      <c r="D34" s="16" t="s">
        <v>689</v>
      </c>
      <c r="E34" s="17" t="s">
        <v>690</v>
      </c>
      <c r="F34" s="17" t="s">
        <v>690</v>
      </c>
      <c r="G34" s="15" t="s">
        <v>49</v>
      </c>
      <c r="H34" s="40" t="s">
        <v>691</v>
      </c>
      <c r="I34" s="14">
        <v>15</v>
      </c>
      <c r="J34" s="9"/>
    </row>
    <row r="35" spans="1:10" s="3" customFormat="1" ht="24" x14ac:dyDescent="0.15">
      <c r="A35" s="7">
        <v>31</v>
      </c>
      <c r="B35" s="15">
        <v>2183</v>
      </c>
      <c r="C35" s="17" t="s">
        <v>692</v>
      </c>
      <c r="D35" s="16" t="s">
        <v>693</v>
      </c>
      <c r="E35" s="17" t="s">
        <v>694</v>
      </c>
      <c r="F35" s="17" t="s">
        <v>694</v>
      </c>
      <c r="G35" s="15" t="s">
        <v>49</v>
      </c>
      <c r="H35" s="40" t="s">
        <v>695</v>
      </c>
      <c r="I35" s="14">
        <v>30</v>
      </c>
      <c r="J35" s="9"/>
    </row>
    <row r="36" spans="1:10" s="3" customFormat="1" ht="24" x14ac:dyDescent="0.15">
      <c r="A36" s="7">
        <v>32</v>
      </c>
      <c r="B36" s="15">
        <v>2184</v>
      </c>
      <c r="C36" s="17" t="s">
        <v>696</v>
      </c>
      <c r="D36" s="16" t="s">
        <v>697</v>
      </c>
      <c r="E36" s="17" t="s">
        <v>698</v>
      </c>
      <c r="F36" s="17" t="s">
        <v>698</v>
      </c>
      <c r="G36" s="15" t="s">
        <v>49</v>
      </c>
      <c r="H36" s="40" t="s">
        <v>699</v>
      </c>
      <c r="I36" s="14">
        <v>18</v>
      </c>
      <c r="J36" s="9"/>
    </row>
    <row r="37" spans="1:10" s="3" customFormat="1" ht="24" x14ac:dyDescent="0.15">
      <c r="A37" s="7">
        <v>33</v>
      </c>
      <c r="B37" s="15">
        <v>2185</v>
      </c>
      <c r="C37" s="17" t="s">
        <v>700</v>
      </c>
      <c r="D37" s="16" t="s">
        <v>701</v>
      </c>
      <c r="E37" s="17" t="s">
        <v>702</v>
      </c>
      <c r="F37" s="17" t="s">
        <v>702</v>
      </c>
      <c r="G37" s="15" t="s">
        <v>49</v>
      </c>
      <c r="H37" s="40" t="s">
        <v>703</v>
      </c>
      <c r="I37" s="14">
        <v>24.3</v>
      </c>
      <c r="J37" s="9"/>
    </row>
    <row r="38" spans="1:10" s="3" customFormat="1" ht="24" x14ac:dyDescent="0.15">
      <c r="A38" s="7">
        <v>34</v>
      </c>
      <c r="B38" s="15">
        <v>2186</v>
      </c>
      <c r="C38" s="17" t="s">
        <v>704</v>
      </c>
      <c r="D38" s="16" t="s">
        <v>705</v>
      </c>
      <c r="E38" s="17" t="s">
        <v>706</v>
      </c>
      <c r="F38" s="17" t="s">
        <v>706</v>
      </c>
      <c r="G38" s="15" t="s">
        <v>49</v>
      </c>
      <c r="H38" s="40" t="s">
        <v>707</v>
      </c>
      <c r="I38" s="14">
        <v>19</v>
      </c>
      <c r="J38" s="9"/>
    </row>
    <row r="39" spans="1:10" s="3" customFormat="1" ht="24" x14ac:dyDescent="0.15">
      <c r="A39" s="7">
        <v>35</v>
      </c>
      <c r="B39" s="15">
        <v>2187</v>
      </c>
      <c r="C39" s="17" t="s">
        <v>708</v>
      </c>
      <c r="D39" s="16" t="s">
        <v>709</v>
      </c>
      <c r="E39" s="17" t="s">
        <v>710</v>
      </c>
      <c r="F39" s="17" t="s">
        <v>710</v>
      </c>
      <c r="G39" s="15" t="s">
        <v>49</v>
      </c>
      <c r="H39" s="40" t="s">
        <v>711</v>
      </c>
      <c r="I39" s="14">
        <v>24</v>
      </c>
      <c r="J39" s="9"/>
    </row>
    <row r="40" spans="1:10" s="3" customFormat="1" ht="24" x14ac:dyDescent="0.15">
      <c r="A40" s="7">
        <v>36</v>
      </c>
      <c r="B40" s="15">
        <v>2188</v>
      </c>
      <c r="C40" s="17" t="s">
        <v>712</v>
      </c>
      <c r="D40" s="16" t="s">
        <v>713</v>
      </c>
      <c r="E40" s="17" t="s">
        <v>714</v>
      </c>
      <c r="F40" s="17" t="s">
        <v>714</v>
      </c>
      <c r="G40" s="15" t="s">
        <v>49</v>
      </c>
      <c r="H40" s="40" t="s">
        <v>715</v>
      </c>
      <c r="I40" s="14">
        <v>7</v>
      </c>
      <c r="J40" s="9"/>
    </row>
    <row r="41" spans="1:10" s="3" customFormat="1" ht="24" x14ac:dyDescent="0.15">
      <c r="A41" s="7">
        <v>37</v>
      </c>
      <c r="B41" s="15">
        <v>2189</v>
      </c>
      <c r="C41" s="17" t="s">
        <v>716</v>
      </c>
      <c r="D41" s="16" t="s">
        <v>717</v>
      </c>
      <c r="E41" s="17" t="s">
        <v>718</v>
      </c>
      <c r="F41" s="17" t="s">
        <v>718</v>
      </c>
      <c r="G41" s="15" t="s">
        <v>49</v>
      </c>
      <c r="H41" s="40" t="s">
        <v>719</v>
      </c>
      <c r="I41" s="14">
        <v>19.8</v>
      </c>
      <c r="J41" s="9"/>
    </row>
    <row r="42" spans="1:10" s="3" customFormat="1" ht="24" x14ac:dyDescent="0.15">
      <c r="A42" s="7">
        <v>38</v>
      </c>
      <c r="B42" s="15">
        <v>2190</v>
      </c>
      <c r="C42" s="17" t="s">
        <v>720</v>
      </c>
      <c r="D42" s="16" t="s">
        <v>721</v>
      </c>
      <c r="E42" s="17" t="s">
        <v>722</v>
      </c>
      <c r="F42" s="17" t="s">
        <v>722</v>
      </c>
      <c r="G42" s="15" t="s">
        <v>49</v>
      </c>
      <c r="H42" s="44" t="s">
        <v>723</v>
      </c>
      <c r="I42" s="14">
        <v>8</v>
      </c>
      <c r="J42" s="9"/>
    </row>
    <row r="43" spans="1:10" s="3" customFormat="1" ht="24" x14ac:dyDescent="0.15">
      <c r="A43" s="7">
        <v>39</v>
      </c>
      <c r="B43" s="15">
        <v>2191</v>
      </c>
      <c r="C43" s="17" t="s">
        <v>724</v>
      </c>
      <c r="D43" s="16" t="s">
        <v>725</v>
      </c>
      <c r="E43" s="17" t="s">
        <v>726</v>
      </c>
      <c r="F43" s="17" t="s">
        <v>726</v>
      </c>
      <c r="G43" s="15" t="s">
        <v>49</v>
      </c>
      <c r="H43" s="40" t="s">
        <v>727</v>
      </c>
      <c r="I43" s="14">
        <v>39</v>
      </c>
      <c r="J43" s="9"/>
    </row>
    <row r="44" spans="1:10" s="3" customFormat="1" ht="24" x14ac:dyDescent="0.15">
      <c r="A44" s="7">
        <v>40</v>
      </c>
      <c r="B44" s="15">
        <v>2192</v>
      </c>
      <c r="C44" s="17" t="s">
        <v>728</v>
      </c>
      <c r="D44" s="16" t="s">
        <v>729</v>
      </c>
      <c r="E44" s="17" t="s">
        <v>730</v>
      </c>
      <c r="F44" s="17" t="s">
        <v>730</v>
      </c>
      <c r="G44" s="15" t="s">
        <v>49</v>
      </c>
      <c r="H44" s="44" t="s">
        <v>731</v>
      </c>
      <c r="I44" s="14">
        <v>18</v>
      </c>
      <c r="J44" s="9"/>
    </row>
    <row r="45" spans="1:10" s="3" customFormat="1" ht="24" x14ac:dyDescent="0.15">
      <c r="A45" s="7">
        <v>41</v>
      </c>
      <c r="B45" s="15">
        <v>2193</v>
      </c>
      <c r="C45" s="17" t="s">
        <v>732</v>
      </c>
      <c r="D45" s="16" t="s">
        <v>733</v>
      </c>
      <c r="E45" s="17" t="s">
        <v>734</v>
      </c>
      <c r="F45" s="17" t="s">
        <v>734</v>
      </c>
      <c r="G45" s="15" t="s">
        <v>49</v>
      </c>
      <c r="H45" s="40" t="s">
        <v>735</v>
      </c>
      <c r="I45" s="14">
        <v>10</v>
      </c>
      <c r="J45" s="9"/>
    </row>
    <row r="46" spans="1:10" s="3" customFormat="1" ht="24" x14ac:dyDescent="0.15">
      <c r="A46" s="7">
        <v>42</v>
      </c>
      <c r="B46" s="15">
        <v>2194</v>
      </c>
      <c r="C46" s="17" t="s">
        <v>736</v>
      </c>
      <c r="D46" s="16" t="s">
        <v>737</v>
      </c>
      <c r="E46" s="17" t="s">
        <v>738</v>
      </c>
      <c r="F46" s="17" t="s">
        <v>738</v>
      </c>
      <c r="G46" s="15" t="s">
        <v>49</v>
      </c>
      <c r="H46" s="40" t="s">
        <v>739</v>
      </c>
      <c r="I46" s="14">
        <v>80</v>
      </c>
      <c r="J46" s="9"/>
    </row>
    <row r="47" spans="1:10" s="3" customFormat="1" ht="24" x14ac:dyDescent="0.15">
      <c r="A47" s="7">
        <v>43</v>
      </c>
      <c r="B47" s="15">
        <v>2195</v>
      </c>
      <c r="C47" s="17" t="s">
        <v>740</v>
      </c>
      <c r="D47" s="16" t="s">
        <v>741</v>
      </c>
      <c r="E47" s="17" t="s">
        <v>742</v>
      </c>
      <c r="F47" s="17" t="s">
        <v>742</v>
      </c>
      <c r="G47" s="15" t="s">
        <v>49</v>
      </c>
      <c r="H47" s="44" t="s">
        <v>743</v>
      </c>
      <c r="I47" s="14">
        <v>18</v>
      </c>
      <c r="J47" s="9"/>
    </row>
    <row r="48" spans="1:10" s="3" customFormat="1" ht="24" x14ac:dyDescent="0.15">
      <c r="A48" s="7">
        <v>44</v>
      </c>
      <c r="B48" s="15">
        <v>2196</v>
      </c>
      <c r="C48" s="17" t="s">
        <v>744</v>
      </c>
      <c r="D48" s="16" t="s">
        <v>745</v>
      </c>
      <c r="E48" s="17" t="s">
        <v>746</v>
      </c>
      <c r="F48" s="17" t="s">
        <v>746</v>
      </c>
      <c r="G48" s="15" t="s">
        <v>49</v>
      </c>
      <c r="H48" s="40" t="s">
        <v>747</v>
      </c>
      <c r="I48" s="14">
        <v>28</v>
      </c>
      <c r="J48" s="9"/>
    </row>
    <row r="49" spans="1:10" s="3" customFormat="1" ht="24" x14ac:dyDescent="0.15">
      <c r="A49" s="7">
        <v>45</v>
      </c>
      <c r="B49" s="15">
        <v>2197</v>
      </c>
      <c r="C49" s="42" t="s">
        <v>748</v>
      </c>
      <c r="D49" s="16" t="s">
        <v>749</v>
      </c>
      <c r="E49" s="17" t="s">
        <v>750</v>
      </c>
      <c r="F49" s="17" t="s">
        <v>750</v>
      </c>
      <c r="G49" s="15" t="s">
        <v>49</v>
      </c>
      <c r="H49" s="44" t="s">
        <v>751</v>
      </c>
      <c r="I49" s="14">
        <v>7</v>
      </c>
      <c r="J49" s="9"/>
    </row>
    <row r="50" spans="1:10" s="3" customFormat="1" ht="24" x14ac:dyDescent="0.15">
      <c r="A50" s="7">
        <v>46</v>
      </c>
      <c r="B50" s="15">
        <v>2198</v>
      </c>
      <c r="C50" s="42" t="s">
        <v>752</v>
      </c>
      <c r="D50" s="43" t="s">
        <v>753</v>
      </c>
      <c r="E50" s="17" t="s">
        <v>754</v>
      </c>
      <c r="F50" s="17" t="s">
        <v>754</v>
      </c>
      <c r="G50" s="15" t="s">
        <v>49</v>
      </c>
      <c r="H50" s="40" t="s">
        <v>755</v>
      </c>
      <c r="I50" s="14">
        <v>8</v>
      </c>
      <c r="J50" s="9"/>
    </row>
    <row r="51" spans="1:10" s="3" customFormat="1" ht="24" x14ac:dyDescent="0.15">
      <c r="A51" s="7">
        <v>47</v>
      </c>
      <c r="B51" s="15">
        <v>2199</v>
      </c>
      <c r="C51" s="42" t="s">
        <v>756</v>
      </c>
      <c r="D51" s="43" t="s">
        <v>757</v>
      </c>
      <c r="E51" s="17" t="s">
        <v>758</v>
      </c>
      <c r="F51" s="17" t="s">
        <v>758</v>
      </c>
      <c r="G51" s="15" t="s">
        <v>49</v>
      </c>
      <c r="H51" s="40" t="s">
        <v>759</v>
      </c>
      <c r="I51" s="14">
        <v>7.1</v>
      </c>
      <c r="J51" s="9"/>
    </row>
    <row r="52" spans="1:10" s="3" customFormat="1" ht="24" x14ac:dyDescent="0.15">
      <c r="A52" s="7">
        <v>48</v>
      </c>
      <c r="B52" s="15">
        <v>2200</v>
      </c>
      <c r="C52" s="42" t="s">
        <v>760</v>
      </c>
      <c r="D52" s="43" t="s">
        <v>761</v>
      </c>
      <c r="E52" s="17" t="s">
        <v>762</v>
      </c>
      <c r="F52" s="17" t="s">
        <v>763</v>
      </c>
      <c r="G52" s="15" t="s">
        <v>49</v>
      </c>
      <c r="H52" s="44" t="s">
        <v>764</v>
      </c>
      <c r="I52" s="14">
        <v>47.76</v>
      </c>
      <c r="J52" s="9"/>
    </row>
    <row r="53" spans="1:10" s="3" customFormat="1" ht="36" x14ac:dyDescent="0.15">
      <c r="A53" s="7">
        <v>49</v>
      </c>
      <c r="B53" s="15">
        <v>2201</v>
      </c>
      <c r="C53" s="42" t="s">
        <v>765</v>
      </c>
      <c r="D53" s="43" t="s">
        <v>766</v>
      </c>
      <c r="E53" s="17" t="s">
        <v>767</v>
      </c>
      <c r="F53" s="17" t="s">
        <v>768</v>
      </c>
      <c r="G53" s="15" t="s">
        <v>49</v>
      </c>
      <c r="H53" s="40" t="s">
        <v>769</v>
      </c>
      <c r="I53" s="14">
        <v>20.079999999999998</v>
      </c>
      <c r="J53" s="9"/>
    </row>
    <row r="54" spans="1:10" s="3" customFormat="1" ht="24" x14ac:dyDescent="0.15">
      <c r="A54" s="7">
        <v>50</v>
      </c>
      <c r="B54" s="15">
        <v>2202</v>
      </c>
      <c r="C54" s="42" t="s">
        <v>770</v>
      </c>
      <c r="D54" s="43" t="s">
        <v>771</v>
      </c>
      <c r="E54" s="17" t="s">
        <v>772</v>
      </c>
      <c r="F54" s="17" t="s">
        <v>772</v>
      </c>
      <c r="G54" s="15" t="s">
        <v>49</v>
      </c>
      <c r="H54" s="40" t="s">
        <v>773</v>
      </c>
      <c r="I54" s="14">
        <v>17</v>
      </c>
      <c r="J54" s="9"/>
    </row>
    <row r="55" spans="1:10" s="3" customFormat="1" ht="24" x14ac:dyDescent="0.15">
      <c r="A55" s="7">
        <v>51</v>
      </c>
      <c r="B55" s="15">
        <v>2203</v>
      </c>
      <c r="C55" s="42" t="s">
        <v>774</v>
      </c>
      <c r="D55" s="43" t="s">
        <v>775</v>
      </c>
      <c r="E55" s="17" t="s">
        <v>776</v>
      </c>
      <c r="F55" s="17" t="s">
        <v>776</v>
      </c>
      <c r="G55" s="15" t="s">
        <v>49</v>
      </c>
      <c r="H55" s="44" t="s">
        <v>777</v>
      </c>
      <c r="I55" s="14">
        <v>23.5</v>
      </c>
      <c r="J55" s="9"/>
    </row>
    <row r="56" spans="1:10" s="3" customFormat="1" ht="24" x14ac:dyDescent="0.15">
      <c r="A56" s="7">
        <v>52</v>
      </c>
      <c r="B56" s="15">
        <v>2204</v>
      </c>
      <c r="C56" s="45" t="s">
        <v>778</v>
      </c>
      <c r="D56" s="42" t="s">
        <v>779</v>
      </c>
      <c r="E56" s="16" t="s">
        <v>780</v>
      </c>
      <c r="F56" s="17" t="s">
        <v>780</v>
      </c>
      <c r="G56" s="17" t="s">
        <v>49</v>
      </c>
      <c r="H56" s="15" t="s">
        <v>781</v>
      </c>
      <c r="I56" s="40">
        <v>7</v>
      </c>
      <c r="J56" s="9"/>
    </row>
    <row r="57" spans="1:10" s="3" customFormat="1" ht="24" x14ac:dyDescent="0.15">
      <c r="A57" s="7">
        <v>53</v>
      </c>
      <c r="B57" s="15">
        <v>2205</v>
      </c>
      <c r="C57" s="42" t="s">
        <v>782</v>
      </c>
      <c r="D57" s="43" t="s">
        <v>783</v>
      </c>
      <c r="E57" s="17" t="s">
        <v>784</v>
      </c>
      <c r="F57" s="17" t="s">
        <v>784</v>
      </c>
      <c r="G57" s="15" t="s">
        <v>49</v>
      </c>
      <c r="H57" s="44" t="s">
        <v>785</v>
      </c>
      <c r="I57" s="14">
        <v>23.15</v>
      </c>
      <c r="J57" s="9"/>
    </row>
    <row r="58" spans="1:10" s="3" customFormat="1" ht="24" x14ac:dyDescent="0.15">
      <c r="A58" s="7">
        <v>54</v>
      </c>
      <c r="B58" s="15">
        <v>2206</v>
      </c>
      <c r="C58" s="42" t="s">
        <v>786</v>
      </c>
      <c r="D58" s="43" t="s">
        <v>787</v>
      </c>
      <c r="E58" s="17" t="s">
        <v>788</v>
      </c>
      <c r="F58" s="17" t="s">
        <v>788</v>
      </c>
      <c r="G58" s="15" t="s">
        <v>49</v>
      </c>
      <c r="H58" s="40" t="s">
        <v>789</v>
      </c>
      <c r="I58" s="14">
        <v>8</v>
      </c>
      <c r="J58" s="9"/>
    </row>
    <row r="59" spans="1:10" s="3" customFormat="1" ht="24" x14ac:dyDescent="0.15">
      <c r="A59" s="7">
        <v>55</v>
      </c>
      <c r="B59" s="15">
        <v>2207</v>
      </c>
      <c r="C59" s="42" t="s">
        <v>790</v>
      </c>
      <c r="D59" s="43" t="s">
        <v>791</v>
      </c>
      <c r="E59" s="17" t="s">
        <v>792</v>
      </c>
      <c r="F59" s="17" t="s">
        <v>792</v>
      </c>
      <c r="G59" s="15" t="s">
        <v>49</v>
      </c>
      <c r="H59" s="44" t="s">
        <v>793</v>
      </c>
      <c r="I59" s="14">
        <v>21.6</v>
      </c>
      <c r="J59" s="9"/>
    </row>
    <row r="60" spans="1:10" s="3" customFormat="1" ht="24" x14ac:dyDescent="0.15">
      <c r="A60" s="7">
        <v>56</v>
      </c>
      <c r="B60" s="15">
        <v>2208</v>
      </c>
      <c r="C60" s="42" t="s">
        <v>794</v>
      </c>
      <c r="D60" s="43" t="s">
        <v>795</v>
      </c>
      <c r="E60" s="17" t="s">
        <v>796</v>
      </c>
      <c r="F60" s="17" t="s">
        <v>796</v>
      </c>
      <c r="G60" s="15" t="s">
        <v>49</v>
      </c>
      <c r="H60" s="40" t="s">
        <v>797</v>
      </c>
      <c r="I60" s="14">
        <v>10</v>
      </c>
      <c r="J60" s="9"/>
    </row>
    <row r="61" spans="1:10" s="3" customFormat="1" ht="24" x14ac:dyDescent="0.15">
      <c r="A61" s="7">
        <v>57</v>
      </c>
      <c r="B61" s="15">
        <v>2209</v>
      </c>
      <c r="C61" s="42" t="s">
        <v>798</v>
      </c>
      <c r="D61" s="43" t="s">
        <v>799</v>
      </c>
      <c r="E61" s="17" t="s">
        <v>800</v>
      </c>
      <c r="F61" s="17" t="s">
        <v>800</v>
      </c>
      <c r="G61" s="15" t="s">
        <v>49</v>
      </c>
      <c r="H61" s="40" t="s">
        <v>801</v>
      </c>
      <c r="I61" s="14">
        <v>27.76</v>
      </c>
      <c r="J61" s="9"/>
    </row>
    <row r="62" spans="1:10" s="3" customFormat="1" ht="24" x14ac:dyDescent="0.15">
      <c r="A62" s="7">
        <v>58</v>
      </c>
      <c r="B62" s="15">
        <v>2210</v>
      </c>
      <c r="C62" s="42" t="s">
        <v>802</v>
      </c>
      <c r="D62" s="43" t="s">
        <v>803</v>
      </c>
      <c r="E62" s="17" t="s">
        <v>804</v>
      </c>
      <c r="F62" s="17" t="s">
        <v>804</v>
      </c>
      <c r="G62" s="15" t="s">
        <v>49</v>
      </c>
      <c r="H62" s="40" t="s">
        <v>805</v>
      </c>
      <c r="I62" s="14">
        <v>6</v>
      </c>
      <c r="J62" s="9"/>
    </row>
    <row r="63" spans="1:10" s="3" customFormat="1" ht="24" x14ac:dyDescent="0.15">
      <c r="A63" s="7">
        <v>59</v>
      </c>
      <c r="B63" s="15">
        <v>2211</v>
      </c>
      <c r="C63" s="42" t="s">
        <v>806</v>
      </c>
      <c r="D63" s="43" t="s">
        <v>807</v>
      </c>
      <c r="E63" s="17" t="s">
        <v>808</v>
      </c>
      <c r="F63" s="17" t="s">
        <v>808</v>
      </c>
      <c r="G63" s="15" t="s">
        <v>49</v>
      </c>
      <c r="H63" s="40" t="s">
        <v>809</v>
      </c>
      <c r="I63" s="14">
        <v>10</v>
      </c>
      <c r="J63" s="9"/>
    </row>
    <row r="64" spans="1:10" s="3" customFormat="1" ht="24" x14ac:dyDescent="0.15">
      <c r="A64" s="7">
        <v>60</v>
      </c>
      <c r="B64" s="15">
        <v>2212</v>
      </c>
      <c r="C64" s="42" t="s">
        <v>810</v>
      </c>
      <c r="D64" s="43" t="s">
        <v>811</v>
      </c>
      <c r="E64" s="17" t="s">
        <v>812</v>
      </c>
      <c r="F64" s="17" t="s">
        <v>812</v>
      </c>
      <c r="G64" s="15" t="s">
        <v>49</v>
      </c>
      <c r="H64" s="40" t="s">
        <v>813</v>
      </c>
      <c r="I64" s="14">
        <v>8</v>
      </c>
      <c r="J64" s="9"/>
    </row>
    <row r="65" spans="1:10" s="3" customFormat="1" ht="24" x14ac:dyDescent="0.15">
      <c r="A65" s="7">
        <v>61</v>
      </c>
      <c r="B65" s="15">
        <v>2213</v>
      </c>
      <c r="C65" s="42" t="s">
        <v>814</v>
      </c>
      <c r="D65" s="43" t="s">
        <v>815</v>
      </c>
      <c r="E65" s="17" t="s">
        <v>816</v>
      </c>
      <c r="F65" s="17" t="s">
        <v>816</v>
      </c>
      <c r="G65" s="15" t="s">
        <v>49</v>
      </c>
      <c r="H65" s="44" t="s">
        <v>817</v>
      </c>
      <c r="I65" s="14">
        <v>17.600000000000001</v>
      </c>
      <c r="J65" s="9"/>
    </row>
    <row r="66" spans="1:10" s="3" customFormat="1" ht="24" x14ac:dyDescent="0.15">
      <c r="A66" s="7">
        <v>62</v>
      </c>
      <c r="B66" s="15">
        <v>2214</v>
      </c>
      <c r="C66" s="42" t="s">
        <v>818</v>
      </c>
      <c r="D66" s="16" t="s">
        <v>819</v>
      </c>
      <c r="E66" s="17" t="s">
        <v>820</v>
      </c>
      <c r="F66" s="17" t="s">
        <v>820</v>
      </c>
      <c r="G66" s="15" t="s">
        <v>49</v>
      </c>
      <c r="H66" s="40" t="s">
        <v>821</v>
      </c>
      <c r="I66" s="14">
        <v>5.7</v>
      </c>
      <c r="J66" s="9"/>
    </row>
    <row r="67" spans="1:10" s="3" customFormat="1" ht="24" x14ac:dyDescent="0.15">
      <c r="A67" s="7">
        <v>63</v>
      </c>
      <c r="B67" s="15">
        <v>2215</v>
      </c>
      <c r="C67" s="42" t="s">
        <v>822</v>
      </c>
      <c r="D67" s="43" t="s">
        <v>823</v>
      </c>
      <c r="E67" s="17" t="s">
        <v>824</v>
      </c>
      <c r="F67" s="17" t="s">
        <v>824</v>
      </c>
      <c r="G67" s="15" t="s">
        <v>49</v>
      </c>
      <c r="H67" s="44" t="s">
        <v>825</v>
      </c>
      <c r="I67" s="14">
        <v>20.96</v>
      </c>
      <c r="J67" s="9"/>
    </row>
    <row r="68" spans="1:10" s="3" customFormat="1" ht="24" x14ac:dyDescent="0.15">
      <c r="A68" s="7">
        <v>64</v>
      </c>
      <c r="B68" s="15">
        <v>2216</v>
      </c>
      <c r="C68" s="42" t="s">
        <v>826</v>
      </c>
      <c r="D68" s="43" t="s">
        <v>827</v>
      </c>
      <c r="E68" s="17" t="s">
        <v>828</v>
      </c>
      <c r="F68" s="17" t="s">
        <v>828</v>
      </c>
      <c r="G68" s="15" t="s">
        <v>49</v>
      </c>
      <c r="H68" s="40" t="s">
        <v>829</v>
      </c>
      <c r="I68" s="14">
        <v>10</v>
      </c>
      <c r="J68" s="9"/>
    </row>
    <row r="69" spans="1:10" s="3" customFormat="1" ht="24" x14ac:dyDescent="0.15">
      <c r="A69" s="7">
        <v>65</v>
      </c>
      <c r="B69" s="15">
        <v>2217</v>
      </c>
      <c r="C69" s="42" t="s">
        <v>830</v>
      </c>
      <c r="D69" s="43" t="s">
        <v>831</v>
      </c>
      <c r="E69" s="17" t="s">
        <v>832</v>
      </c>
      <c r="F69" s="17" t="s">
        <v>832</v>
      </c>
      <c r="G69" s="15" t="s">
        <v>49</v>
      </c>
      <c r="H69" s="40" t="s">
        <v>833</v>
      </c>
      <c r="I69" s="14">
        <v>11.5</v>
      </c>
      <c r="J69" s="9"/>
    </row>
    <row r="70" spans="1:10" s="3" customFormat="1" ht="24" x14ac:dyDescent="0.15">
      <c r="A70" s="7">
        <v>66</v>
      </c>
      <c r="B70" s="15">
        <v>2218</v>
      </c>
      <c r="C70" s="42" t="s">
        <v>834</v>
      </c>
      <c r="D70" s="43" t="s">
        <v>835</v>
      </c>
      <c r="E70" s="17" t="s">
        <v>836</v>
      </c>
      <c r="F70" s="17" t="s">
        <v>836</v>
      </c>
      <c r="G70" s="15" t="s">
        <v>49</v>
      </c>
      <c r="H70" s="40" t="s">
        <v>837</v>
      </c>
      <c r="I70" s="14">
        <v>6</v>
      </c>
      <c r="J70" s="9"/>
    </row>
    <row r="71" spans="1:10" s="3" customFormat="1" ht="24" x14ac:dyDescent="0.15">
      <c r="A71" s="7">
        <v>67</v>
      </c>
      <c r="B71" s="15">
        <v>2219</v>
      </c>
      <c r="C71" s="42" t="s">
        <v>838</v>
      </c>
      <c r="D71" s="43" t="s">
        <v>839</v>
      </c>
      <c r="E71" s="17" t="s">
        <v>840</v>
      </c>
      <c r="F71" s="17" t="s">
        <v>840</v>
      </c>
      <c r="G71" s="15" t="s">
        <v>49</v>
      </c>
      <c r="H71" s="40" t="s">
        <v>841</v>
      </c>
      <c r="I71" s="14">
        <v>7.1</v>
      </c>
      <c r="J71" s="9"/>
    </row>
    <row r="72" spans="1:10" s="3" customFormat="1" ht="24" x14ac:dyDescent="0.15">
      <c r="A72" s="7">
        <v>68</v>
      </c>
      <c r="B72" s="15">
        <v>2220</v>
      </c>
      <c r="C72" s="42" t="s">
        <v>842</v>
      </c>
      <c r="D72" s="16" t="s">
        <v>843</v>
      </c>
      <c r="E72" s="17" t="s">
        <v>844</v>
      </c>
      <c r="F72" s="17" t="s">
        <v>844</v>
      </c>
      <c r="G72" s="15" t="s">
        <v>49</v>
      </c>
      <c r="H72" s="40" t="s">
        <v>845</v>
      </c>
      <c r="I72" s="14">
        <v>14</v>
      </c>
      <c r="J72" s="9"/>
    </row>
    <row r="73" spans="1:10" s="3" customFormat="1" ht="24" x14ac:dyDescent="0.15">
      <c r="A73" s="7">
        <v>69</v>
      </c>
      <c r="B73" s="15">
        <v>2221</v>
      </c>
      <c r="C73" s="42" t="s">
        <v>846</v>
      </c>
      <c r="D73" s="16" t="s">
        <v>847</v>
      </c>
      <c r="E73" s="17" t="s">
        <v>848</v>
      </c>
      <c r="F73" s="17" t="s">
        <v>848</v>
      </c>
      <c r="G73" s="15" t="s">
        <v>49</v>
      </c>
      <c r="H73" s="44" t="s">
        <v>849</v>
      </c>
      <c r="I73" s="14">
        <v>7</v>
      </c>
      <c r="J73" s="9"/>
    </row>
    <row r="74" spans="1:10" s="3" customFormat="1" ht="24" x14ac:dyDescent="0.15">
      <c r="A74" s="7">
        <v>70</v>
      </c>
      <c r="B74" s="15">
        <v>2222</v>
      </c>
      <c r="C74" s="42" t="s">
        <v>850</v>
      </c>
      <c r="D74" s="43" t="s">
        <v>851</v>
      </c>
      <c r="E74" s="17" t="s">
        <v>852</v>
      </c>
      <c r="F74" s="17" t="s">
        <v>852</v>
      </c>
      <c r="G74" s="15" t="s">
        <v>49</v>
      </c>
      <c r="H74" s="40" t="s">
        <v>853</v>
      </c>
      <c r="I74" s="14">
        <v>7</v>
      </c>
      <c r="J74" s="9"/>
    </row>
    <row r="75" spans="1:10" s="3" customFormat="1" ht="24" x14ac:dyDescent="0.15">
      <c r="A75" s="7">
        <v>71</v>
      </c>
      <c r="B75" s="15">
        <v>2223</v>
      </c>
      <c r="C75" s="42" t="s">
        <v>854</v>
      </c>
      <c r="D75" s="43" t="s">
        <v>855</v>
      </c>
      <c r="E75" s="17" t="s">
        <v>856</v>
      </c>
      <c r="F75" s="17" t="s">
        <v>856</v>
      </c>
      <c r="G75" s="15" t="s">
        <v>49</v>
      </c>
      <c r="H75" s="44" t="s">
        <v>857</v>
      </c>
      <c r="I75" s="14">
        <v>9</v>
      </c>
      <c r="J75" s="9"/>
    </row>
    <row r="76" spans="1:10" s="3" customFormat="1" ht="24" x14ac:dyDescent="0.15">
      <c r="A76" s="7">
        <v>72</v>
      </c>
      <c r="B76" s="15">
        <v>2224</v>
      </c>
      <c r="C76" s="42" t="s">
        <v>858</v>
      </c>
      <c r="D76" s="16" t="s">
        <v>859</v>
      </c>
      <c r="E76" s="17" t="s">
        <v>860</v>
      </c>
      <c r="F76" s="17" t="s">
        <v>860</v>
      </c>
      <c r="G76" s="15" t="s">
        <v>49</v>
      </c>
      <c r="H76" s="40" t="s">
        <v>861</v>
      </c>
      <c r="I76" s="14">
        <v>7.8</v>
      </c>
      <c r="J76" s="9"/>
    </row>
    <row r="77" spans="1:10" s="3" customFormat="1" ht="36" x14ac:dyDescent="0.15">
      <c r="A77" s="7">
        <v>73</v>
      </c>
      <c r="B77" s="15">
        <v>2225</v>
      </c>
      <c r="C77" s="42" t="s">
        <v>862</v>
      </c>
      <c r="D77" s="16" t="s">
        <v>863</v>
      </c>
      <c r="E77" s="17" t="s">
        <v>864</v>
      </c>
      <c r="F77" s="17" t="s">
        <v>865</v>
      </c>
      <c r="G77" s="15" t="s">
        <v>49</v>
      </c>
      <c r="H77" s="40" t="s">
        <v>866</v>
      </c>
      <c r="I77" s="14">
        <v>28.4</v>
      </c>
      <c r="J77" s="9"/>
    </row>
    <row r="78" spans="1:10" s="3" customFormat="1" ht="24" x14ac:dyDescent="0.15">
      <c r="A78" s="7">
        <v>74</v>
      </c>
      <c r="B78" s="15">
        <v>2226</v>
      </c>
      <c r="C78" s="42" t="s">
        <v>867</v>
      </c>
      <c r="D78" s="16" t="s">
        <v>868</v>
      </c>
      <c r="E78" s="17" t="s">
        <v>869</v>
      </c>
      <c r="F78" s="17" t="s">
        <v>870</v>
      </c>
      <c r="G78" s="15" t="s">
        <v>49</v>
      </c>
      <c r="H78" s="44" t="s">
        <v>871</v>
      </c>
      <c r="I78" s="14">
        <v>25.5</v>
      </c>
      <c r="J78" s="9"/>
    </row>
    <row r="79" spans="1:10" s="3" customFormat="1" ht="24" x14ac:dyDescent="0.15">
      <c r="A79" s="7">
        <v>75</v>
      </c>
      <c r="B79" s="15">
        <v>2227</v>
      </c>
      <c r="C79" s="17" t="s">
        <v>872</v>
      </c>
      <c r="D79" s="16" t="s">
        <v>873</v>
      </c>
      <c r="E79" s="17" t="s">
        <v>874</v>
      </c>
      <c r="F79" s="17" t="s">
        <v>874</v>
      </c>
      <c r="G79" s="15" t="s">
        <v>49</v>
      </c>
      <c r="H79" s="44" t="s">
        <v>875</v>
      </c>
      <c r="I79" s="14">
        <v>23.36</v>
      </c>
      <c r="J79" s="9"/>
    </row>
    <row r="80" spans="1:10" s="3" customFormat="1" ht="24" x14ac:dyDescent="0.15">
      <c r="A80" s="7">
        <v>76</v>
      </c>
      <c r="B80" s="15">
        <v>2228</v>
      </c>
      <c r="C80" s="17" t="s">
        <v>876</v>
      </c>
      <c r="D80" s="16" t="s">
        <v>877</v>
      </c>
      <c r="E80" s="17" t="s">
        <v>878</v>
      </c>
      <c r="F80" s="17" t="s">
        <v>878</v>
      </c>
      <c r="G80" s="15" t="s">
        <v>49</v>
      </c>
      <c r="H80" s="40" t="s">
        <v>879</v>
      </c>
      <c r="I80" s="14">
        <v>19</v>
      </c>
      <c r="J80" s="9"/>
    </row>
    <row r="81" spans="1:10" s="3" customFormat="1" ht="24" x14ac:dyDescent="0.15">
      <c r="A81" s="7">
        <v>77</v>
      </c>
      <c r="B81" s="15">
        <v>2229</v>
      </c>
      <c r="C81" s="17" t="s">
        <v>880</v>
      </c>
      <c r="D81" s="16" t="s">
        <v>881</v>
      </c>
      <c r="E81" s="17" t="s">
        <v>882</v>
      </c>
      <c r="F81" s="17" t="s">
        <v>882</v>
      </c>
      <c r="G81" s="15" t="s">
        <v>49</v>
      </c>
      <c r="H81" s="44" t="s">
        <v>883</v>
      </c>
      <c r="I81" s="14">
        <v>28.9</v>
      </c>
      <c r="J81" s="9"/>
    </row>
    <row r="82" spans="1:10" s="3" customFormat="1" ht="24" x14ac:dyDescent="0.15">
      <c r="A82" s="7">
        <v>78</v>
      </c>
      <c r="B82" s="15">
        <v>2230</v>
      </c>
      <c r="C82" s="17" t="s">
        <v>884</v>
      </c>
      <c r="D82" s="16" t="s">
        <v>885</v>
      </c>
      <c r="E82" s="17" t="s">
        <v>886</v>
      </c>
      <c r="F82" s="17" t="s">
        <v>886</v>
      </c>
      <c r="G82" s="15" t="s">
        <v>49</v>
      </c>
      <c r="H82" s="40" t="s">
        <v>887</v>
      </c>
      <c r="I82" s="14">
        <v>15</v>
      </c>
      <c r="J82" s="9"/>
    </row>
    <row r="83" spans="1:10" s="3" customFormat="1" ht="24" x14ac:dyDescent="0.15">
      <c r="A83" s="7">
        <v>79</v>
      </c>
      <c r="B83" s="15">
        <v>2231</v>
      </c>
      <c r="C83" s="17" t="s">
        <v>888</v>
      </c>
      <c r="D83" s="16" t="s">
        <v>889</v>
      </c>
      <c r="E83" s="17" t="s">
        <v>890</v>
      </c>
      <c r="F83" s="17" t="s">
        <v>890</v>
      </c>
      <c r="G83" s="15" t="s">
        <v>49</v>
      </c>
      <c r="H83" s="44" t="s">
        <v>891</v>
      </c>
      <c r="I83" s="14">
        <v>22</v>
      </c>
      <c r="J83" s="9"/>
    </row>
    <row r="84" spans="1:10" s="3" customFormat="1" ht="24" x14ac:dyDescent="0.15">
      <c r="A84" s="7">
        <v>80</v>
      </c>
      <c r="B84" s="15">
        <v>2232</v>
      </c>
      <c r="C84" s="17" t="s">
        <v>892</v>
      </c>
      <c r="D84" s="16" t="s">
        <v>893</v>
      </c>
      <c r="E84" s="17" t="s">
        <v>894</v>
      </c>
      <c r="F84" s="17" t="s">
        <v>894</v>
      </c>
      <c r="G84" s="15" t="s">
        <v>49</v>
      </c>
      <c r="H84" s="40" t="s">
        <v>895</v>
      </c>
      <c r="I84" s="14">
        <v>28</v>
      </c>
      <c r="J84" s="9"/>
    </row>
    <row r="85" spans="1:10" s="3" customFormat="1" ht="24" x14ac:dyDescent="0.15">
      <c r="A85" s="7">
        <v>81</v>
      </c>
      <c r="B85" s="15">
        <v>2233</v>
      </c>
      <c r="C85" s="17" t="s">
        <v>896</v>
      </c>
      <c r="D85" s="16" t="s">
        <v>897</v>
      </c>
      <c r="E85" s="17" t="s">
        <v>898</v>
      </c>
      <c r="F85" s="17" t="s">
        <v>898</v>
      </c>
      <c r="G85" s="15" t="s">
        <v>49</v>
      </c>
      <c r="H85" s="44" t="s">
        <v>899</v>
      </c>
      <c r="I85" s="14">
        <v>20.8</v>
      </c>
      <c r="J85" s="9"/>
    </row>
    <row r="86" spans="1:10" s="3" customFormat="1" ht="24" x14ac:dyDescent="0.15">
      <c r="A86" s="7">
        <v>82</v>
      </c>
      <c r="B86" s="15">
        <v>2234</v>
      </c>
      <c r="C86" s="17" t="s">
        <v>900</v>
      </c>
      <c r="D86" s="16" t="s">
        <v>901</v>
      </c>
      <c r="E86" s="17" t="s">
        <v>902</v>
      </c>
      <c r="F86" s="17" t="s">
        <v>902</v>
      </c>
      <c r="G86" s="15" t="s">
        <v>49</v>
      </c>
      <c r="H86" s="40" t="s">
        <v>903</v>
      </c>
      <c r="I86" s="14">
        <v>20</v>
      </c>
      <c r="J86" s="9"/>
    </row>
    <row r="87" spans="1:10" s="3" customFormat="1" ht="24" x14ac:dyDescent="0.15">
      <c r="A87" s="7">
        <v>83</v>
      </c>
      <c r="B87" s="15">
        <v>2235</v>
      </c>
      <c r="C87" s="17" t="s">
        <v>904</v>
      </c>
      <c r="D87" s="16" t="s">
        <v>905</v>
      </c>
      <c r="E87" s="17" t="s">
        <v>906</v>
      </c>
      <c r="F87" s="17" t="s">
        <v>906</v>
      </c>
      <c r="G87" s="15" t="s">
        <v>49</v>
      </c>
      <c r="H87" s="40" t="s">
        <v>907</v>
      </c>
      <c r="I87" s="14">
        <v>23.6</v>
      </c>
      <c r="J87" s="9"/>
    </row>
    <row r="88" spans="1:10" s="3" customFormat="1" ht="24" x14ac:dyDescent="0.15">
      <c r="A88" s="7">
        <v>84</v>
      </c>
      <c r="B88" s="15">
        <v>2236</v>
      </c>
      <c r="C88" s="17" t="s">
        <v>908</v>
      </c>
      <c r="D88" s="16" t="s">
        <v>909</v>
      </c>
      <c r="E88" s="17" t="s">
        <v>910</v>
      </c>
      <c r="F88" s="17" t="s">
        <v>910</v>
      </c>
      <c r="G88" s="15" t="s">
        <v>49</v>
      </c>
      <c r="H88" s="44" t="s">
        <v>911</v>
      </c>
      <c r="I88" s="14">
        <v>10</v>
      </c>
      <c r="J88" s="9"/>
    </row>
    <row r="89" spans="1:10" s="3" customFormat="1" ht="24" x14ac:dyDescent="0.15">
      <c r="A89" s="7">
        <v>85</v>
      </c>
      <c r="B89" s="15">
        <v>2237</v>
      </c>
      <c r="C89" s="17" t="s">
        <v>912</v>
      </c>
      <c r="D89" s="16" t="s">
        <v>913</v>
      </c>
      <c r="E89" s="17" t="s">
        <v>914</v>
      </c>
      <c r="F89" s="17" t="s">
        <v>914</v>
      </c>
      <c r="G89" s="15" t="s">
        <v>49</v>
      </c>
      <c r="H89" s="44" t="s">
        <v>915</v>
      </c>
      <c r="I89" s="14">
        <v>24.5</v>
      </c>
      <c r="J89" s="9"/>
    </row>
    <row r="90" spans="1:10" s="3" customFormat="1" ht="24" x14ac:dyDescent="0.15">
      <c r="A90" s="7">
        <v>86</v>
      </c>
      <c r="B90" s="15">
        <v>2238</v>
      </c>
      <c r="C90" s="17" t="s">
        <v>916</v>
      </c>
      <c r="D90" s="16" t="s">
        <v>917</v>
      </c>
      <c r="E90" s="17" t="s">
        <v>918</v>
      </c>
      <c r="F90" s="17" t="s">
        <v>918</v>
      </c>
      <c r="G90" s="15" t="s">
        <v>49</v>
      </c>
      <c r="H90" s="40" t="s">
        <v>919</v>
      </c>
      <c r="I90" s="14">
        <v>48</v>
      </c>
      <c r="J90" s="9"/>
    </row>
    <row r="91" spans="1:10" s="3" customFormat="1" ht="24" x14ac:dyDescent="0.15">
      <c r="A91" s="7">
        <v>87</v>
      </c>
      <c r="B91" s="15">
        <v>2239</v>
      </c>
      <c r="C91" s="17" t="s">
        <v>920</v>
      </c>
      <c r="D91" s="16" t="s">
        <v>921</v>
      </c>
      <c r="E91" s="17" t="s">
        <v>922</v>
      </c>
      <c r="F91" s="17" t="s">
        <v>922</v>
      </c>
      <c r="G91" s="15" t="s">
        <v>49</v>
      </c>
      <c r="H91" s="44" t="s">
        <v>923</v>
      </c>
      <c r="I91" s="14">
        <v>16</v>
      </c>
      <c r="J91" s="9"/>
    </row>
    <row r="92" spans="1:10" s="3" customFormat="1" ht="24" x14ac:dyDescent="0.15">
      <c r="A92" s="7">
        <v>88</v>
      </c>
      <c r="B92" s="15">
        <v>2240</v>
      </c>
      <c r="C92" s="17" t="s">
        <v>924</v>
      </c>
      <c r="D92" s="16" t="s">
        <v>925</v>
      </c>
      <c r="E92" s="17" t="s">
        <v>926</v>
      </c>
      <c r="F92" s="17" t="s">
        <v>926</v>
      </c>
      <c r="G92" s="15" t="s">
        <v>49</v>
      </c>
      <c r="H92" s="40" t="s">
        <v>927</v>
      </c>
      <c r="I92" s="14">
        <v>10</v>
      </c>
      <c r="J92" s="9"/>
    </row>
    <row r="93" spans="1:10" s="3" customFormat="1" ht="24" x14ac:dyDescent="0.15">
      <c r="A93" s="7">
        <v>89</v>
      </c>
      <c r="B93" s="15">
        <v>2241</v>
      </c>
      <c r="C93" s="17" t="s">
        <v>928</v>
      </c>
      <c r="D93" s="16" t="s">
        <v>929</v>
      </c>
      <c r="E93" s="17" t="s">
        <v>930</v>
      </c>
      <c r="F93" s="17" t="s">
        <v>930</v>
      </c>
      <c r="G93" s="15" t="s">
        <v>49</v>
      </c>
      <c r="H93" s="40" t="s">
        <v>931</v>
      </c>
      <c r="I93" s="14">
        <v>11.5</v>
      </c>
      <c r="J93" s="9"/>
    </row>
    <row r="94" spans="1:10" s="3" customFormat="1" ht="24" x14ac:dyDescent="0.15">
      <c r="A94" s="7">
        <v>90</v>
      </c>
      <c r="B94" s="15">
        <v>2242</v>
      </c>
      <c r="C94" s="17" t="s">
        <v>932</v>
      </c>
      <c r="D94" s="16" t="s">
        <v>933</v>
      </c>
      <c r="E94" s="17" t="s">
        <v>934</v>
      </c>
      <c r="F94" s="17" t="s">
        <v>934</v>
      </c>
      <c r="G94" s="15" t="s">
        <v>49</v>
      </c>
      <c r="H94" s="40" t="s">
        <v>935</v>
      </c>
      <c r="I94" s="14">
        <v>15.2</v>
      </c>
      <c r="J94" s="9"/>
    </row>
    <row r="95" spans="1:10" s="3" customFormat="1" ht="24" x14ac:dyDescent="0.15">
      <c r="A95" s="7">
        <v>91</v>
      </c>
      <c r="B95" s="15">
        <v>2243</v>
      </c>
      <c r="C95" s="17" t="s">
        <v>936</v>
      </c>
      <c r="D95" s="16" t="s">
        <v>937</v>
      </c>
      <c r="E95" s="17" t="s">
        <v>938</v>
      </c>
      <c r="F95" s="17" t="s">
        <v>938</v>
      </c>
      <c r="G95" s="15" t="s">
        <v>49</v>
      </c>
      <c r="H95" s="40" t="s">
        <v>939</v>
      </c>
      <c r="I95" s="14">
        <v>19</v>
      </c>
      <c r="J95" s="9"/>
    </row>
    <row r="96" spans="1:10" s="3" customFormat="1" ht="24" x14ac:dyDescent="0.15">
      <c r="A96" s="7">
        <v>92</v>
      </c>
      <c r="B96" s="15">
        <v>2244</v>
      </c>
      <c r="C96" s="17" t="s">
        <v>940</v>
      </c>
      <c r="D96" s="16" t="s">
        <v>941</v>
      </c>
      <c r="E96" s="17" t="s">
        <v>942</v>
      </c>
      <c r="F96" s="17" t="s">
        <v>942</v>
      </c>
      <c r="G96" s="15" t="s">
        <v>49</v>
      </c>
      <c r="H96" s="40" t="s">
        <v>943</v>
      </c>
      <c r="I96" s="14">
        <v>14.5</v>
      </c>
      <c r="J96" s="9"/>
    </row>
    <row r="97" spans="1:10" s="3" customFormat="1" ht="24" x14ac:dyDescent="0.15">
      <c r="A97" s="7">
        <v>93</v>
      </c>
      <c r="B97" s="15">
        <v>2245</v>
      </c>
      <c r="C97" s="17" t="s">
        <v>944</v>
      </c>
      <c r="D97" s="16" t="s">
        <v>945</v>
      </c>
      <c r="E97" s="17" t="s">
        <v>946</v>
      </c>
      <c r="F97" s="17" t="s">
        <v>946</v>
      </c>
      <c r="G97" s="15" t="s">
        <v>49</v>
      </c>
      <c r="H97" s="40" t="s">
        <v>947</v>
      </c>
      <c r="I97" s="14">
        <v>26</v>
      </c>
      <c r="J97" s="9"/>
    </row>
    <row r="98" spans="1:10" s="3" customFormat="1" ht="24" x14ac:dyDescent="0.15">
      <c r="A98" s="7">
        <v>94</v>
      </c>
      <c r="B98" s="15">
        <v>2246</v>
      </c>
      <c r="C98" s="17" t="s">
        <v>948</v>
      </c>
      <c r="D98" s="16" t="s">
        <v>949</v>
      </c>
      <c r="E98" s="17" t="s">
        <v>950</v>
      </c>
      <c r="F98" s="17" t="s">
        <v>950</v>
      </c>
      <c r="G98" s="15" t="s">
        <v>49</v>
      </c>
      <c r="H98" s="40" t="s">
        <v>951</v>
      </c>
      <c r="I98" s="14">
        <v>21.4</v>
      </c>
      <c r="J98" s="9"/>
    </row>
    <row r="99" spans="1:10" s="3" customFormat="1" ht="24" x14ac:dyDescent="0.15">
      <c r="A99" s="7">
        <v>95</v>
      </c>
      <c r="B99" s="15">
        <v>2247</v>
      </c>
      <c r="C99" s="17" t="s">
        <v>952</v>
      </c>
      <c r="D99" s="16" t="s">
        <v>953</v>
      </c>
      <c r="E99" s="17" t="s">
        <v>954</v>
      </c>
      <c r="F99" s="17" t="s">
        <v>954</v>
      </c>
      <c r="G99" s="15" t="s">
        <v>49</v>
      </c>
      <c r="H99" s="44" t="s">
        <v>955</v>
      </c>
      <c r="I99" s="14">
        <v>48</v>
      </c>
      <c r="J99" s="9"/>
    </row>
    <row r="100" spans="1:10" s="3" customFormat="1" ht="24" x14ac:dyDescent="0.15">
      <c r="A100" s="7">
        <v>96</v>
      </c>
      <c r="B100" s="15">
        <v>2248</v>
      </c>
      <c r="C100" s="17" t="s">
        <v>956</v>
      </c>
      <c r="D100" s="16" t="s">
        <v>957</v>
      </c>
      <c r="E100" s="17" t="s">
        <v>958</v>
      </c>
      <c r="F100" s="17" t="s">
        <v>958</v>
      </c>
      <c r="G100" s="15" t="s">
        <v>49</v>
      </c>
      <c r="H100" s="40" t="s">
        <v>959</v>
      </c>
      <c r="I100" s="14">
        <v>7.5</v>
      </c>
      <c r="J100" s="9"/>
    </row>
    <row r="101" spans="1:10" s="3" customFormat="1" ht="24" x14ac:dyDescent="0.15">
      <c r="A101" s="7">
        <v>97</v>
      </c>
      <c r="B101" s="15">
        <v>2249</v>
      </c>
      <c r="C101" s="17" t="s">
        <v>960</v>
      </c>
      <c r="D101" s="16" t="s">
        <v>961</v>
      </c>
      <c r="E101" s="17" t="s">
        <v>962</v>
      </c>
      <c r="F101" s="17" t="s">
        <v>962</v>
      </c>
      <c r="G101" s="15" t="s">
        <v>49</v>
      </c>
      <c r="H101" s="40" t="s">
        <v>963</v>
      </c>
      <c r="I101" s="14">
        <v>24.5</v>
      </c>
      <c r="J101" s="9"/>
    </row>
    <row r="102" spans="1:10" s="3" customFormat="1" ht="24" x14ac:dyDescent="0.15">
      <c r="A102" s="7">
        <v>98</v>
      </c>
      <c r="B102" s="15">
        <v>2250</v>
      </c>
      <c r="C102" s="17" t="s">
        <v>964</v>
      </c>
      <c r="D102" s="16" t="s">
        <v>965</v>
      </c>
      <c r="E102" s="17" t="s">
        <v>966</v>
      </c>
      <c r="F102" s="17" t="s">
        <v>966</v>
      </c>
      <c r="G102" s="15" t="s">
        <v>49</v>
      </c>
      <c r="H102" s="40" t="s">
        <v>967</v>
      </c>
      <c r="I102" s="14">
        <v>26</v>
      </c>
      <c r="J102" s="9"/>
    </row>
    <row r="103" spans="1:10" s="3" customFormat="1" ht="24" x14ac:dyDescent="0.15">
      <c r="A103" s="7">
        <v>99</v>
      </c>
      <c r="B103" s="15">
        <v>2251</v>
      </c>
      <c r="C103" s="17" t="s">
        <v>968</v>
      </c>
      <c r="D103" s="16" t="s">
        <v>969</v>
      </c>
      <c r="E103" s="17" t="s">
        <v>970</v>
      </c>
      <c r="F103" s="17" t="s">
        <v>970</v>
      </c>
      <c r="G103" s="15" t="s">
        <v>49</v>
      </c>
      <c r="H103" s="40" t="s">
        <v>971</v>
      </c>
      <c r="I103" s="14">
        <v>48</v>
      </c>
      <c r="J103" s="9"/>
    </row>
    <row r="104" spans="1:10" s="3" customFormat="1" ht="24" x14ac:dyDescent="0.15">
      <c r="A104" s="7">
        <v>100</v>
      </c>
      <c r="B104" s="15">
        <v>2252</v>
      </c>
      <c r="C104" s="17" t="s">
        <v>972</v>
      </c>
      <c r="D104" s="16" t="s">
        <v>973</v>
      </c>
      <c r="E104" s="17" t="s">
        <v>974</v>
      </c>
      <c r="F104" s="17" t="s">
        <v>974</v>
      </c>
      <c r="G104" s="15" t="s">
        <v>49</v>
      </c>
      <c r="H104" s="40" t="s">
        <v>975</v>
      </c>
      <c r="I104" s="14">
        <v>20</v>
      </c>
      <c r="J104" s="9"/>
    </row>
    <row r="105" spans="1:10" s="3" customFormat="1" ht="24" x14ac:dyDescent="0.15">
      <c r="A105" s="7">
        <v>101</v>
      </c>
      <c r="B105" s="15">
        <v>2253</v>
      </c>
      <c r="C105" s="17" t="s">
        <v>976</v>
      </c>
      <c r="D105" s="16" t="s">
        <v>977</v>
      </c>
      <c r="E105" s="17" t="s">
        <v>978</v>
      </c>
      <c r="F105" s="17" t="s">
        <v>978</v>
      </c>
      <c r="G105" s="15" t="s">
        <v>49</v>
      </c>
      <c r="H105" s="40" t="s">
        <v>979</v>
      </c>
      <c r="I105" s="14">
        <v>22.16</v>
      </c>
      <c r="J105" s="9"/>
    </row>
    <row r="106" spans="1:10" s="3" customFormat="1" ht="24" x14ac:dyDescent="0.15">
      <c r="A106" s="7">
        <v>102</v>
      </c>
      <c r="B106" s="8">
        <v>4605</v>
      </c>
      <c r="C106" s="46" t="s">
        <v>980</v>
      </c>
      <c r="D106" s="47" t="s">
        <v>981</v>
      </c>
      <c r="E106" s="9" t="s">
        <v>982</v>
      </c>
      <c r="F106" s="9" t="s">
        <v>983</v>
      </c>
      <c r="G106" s="10" t="s">
        <v>219</v>
      </c>
      <c r="H106" s="23" t="s">
        <v>984</v>
      </c>
      <c r="I106" s="11">
        <v>60</v>
      </c>
      <c r="J106" s="9"/>
    </row>
    <row r="107" spans="1:10" s="3" customFormat="1" ht="13.5" x14ac:dyDescent="0.15">
      <c r="A107" s="7"/>
      <c r="B107" s="8"/>
      <c r="C107" s="9"/>
      <c r="D107" s="10"/>
      <c r="E107" s="9"/>
      <c r="F107" s="9"/>
      <c r="G107" s="10"/>
      <c r="H107" s="23"/>
      <c r="I107" s="11"/>
      <c r="J107" s="9"/>
    </row>
    <row r="108" spans="1:10" s="3" customFormat="1" ht="13.5" x14ac:dyDescent="0.15">
      <c r="A108" s="7"/>
      <c r="B108" s="8"/>
      <c r="C108" s="9"/>
      <c r="D108" s="10"/>
      <c r="E108" s="9"/>
      <c r="F108" s="9"/>
      <c r="G108" s="10"/>
      <c r="H108" s="23"/>
      <c r="I108" s="11"/>
      <c r="J108" s="9"/>
    </row>
    <row r="109" spans="1:10" s="3" customFormat="1" ht="13.5" x14ac:dyDescent="0.15">
      <c r="A109" s="7"/>
      <c r="B109" s="8"/>
      <c r="C109" s="9"/>
      <c r="D109" s="10"/>
      <c r="E109" s="9"/>
      <c r="F109" s="9"/>
      <c r="G109" s="10"/>
      <c r="H109" s="23"/>
      <c r="I109" s="11"/>
      <c r="J109" s="9"/>
    </row>
    <row r="110" spans="1:10" s="3" customFormat="1" ht="22.5" customHeight="1" x14ac:dyDescent="0.15">
      <c r="A110" s="7"/>
      <c r="B110" s="8"/>
      <c r="C110" s="9"/>
      <c r="D110" s="11"/>
      <c r="E110" s="11"/>
      <c r="F110" s="11"/>
      <c r="G110" s="10"/>
      <c r="H110" s="12"/>
      <c r="I110" s="11"/>
      <c r="J110" s="9"/>
    </row>
    <row r="111" spans="1:10" s="3" customFormat="1" ht="22.5" customHeight="1" x14ac:dyDescent="0.15">
      <c r="A111" s="7"/>
      <c r="B111" s="14" t="s">
        <v>216</v>
      </c>
      <c r="C111" s="9" t="s">
        <v>217</v>
      </c>
      <c r="D111" s="11">
        <v>1</v>
      </c>
      <c r="E111" s="11">
        <f>COUNTIF(G:G,C111)</f>
        <v>0</v>
      </c>
      <c r="F111" s="11">
        <f t="shared" ref="F111:F119" si="0">D111+E111</f>
        <v>1</v>
      </c>
      <c r="G111" s="10"/>
      <c r="H111" s="12"/>
      <c r="I111" s="11"/>
      <c r="J111" s="9"/>
    </row>
    <row r="112" spans="1:10" ht="22.5" customHeight="1" x14ac:dyDescent="0.15">
      <c r="A112" s="6"/>
      <c r="B112" s="14" t="s">
        <v>216</v>
      </c>
      <c r="C112" s="9" t="s">
        <v>218</v>
      </c>
      <c r="D112" s="9">
        <v>968</v>
      </c>
      <c r="E112" s="11">
        <f>COUNTIF(G:G,C112)</f>
        <v>0</v>
      </c>
      <c r="F112" s="11">
        <f t="shared" si="0"/>
        <v>968</v>
      </c>
      <c r="G112" s="9"/>
      <c r="H112" s="9"/>
      <c r="I112" s="9"/>
      <c r="J112" s="16"/>
    </row>
    <row r="113" spans="1:11" ht="22.5" customHeight="1" x14ac:dyDescent="0.15">
      <c r="A113" s="6"/>
      <c r="B113" s="14" t="s">
        <v>216</v>
      </c>
      <c r="C113" s="8" t="s">
        <v>219</v>
      </c>
      <c r="D113" s="10">
        <v>402</v>
      </c>
      <c r="E113" s="11">
        <f>COUNTIF(G:G,C113)</f>
        <v>1</v>
      </c>
      <c r="F113" s="11">
        <f t="shared" si="0"/>
        <v>403</v>
      </c>
      <c r="G113" s="9"/>
      <c r="H113" s="9"/>
      <c r="I113" s="9"/>
      <c r="J113" s="16"/>
    </row>
    <row r="114" spans="1:11" ht="22.5" customHeight="1" x14ac:dyDescent="0.15">
      <c r="A114" s="6"/>
      <c r="B114" s="14" t="s">
        <v>216</v>
      </c>
      <c r="C114" s="8" t="s">
        <v>220</v>
      </c>
      <c r="D114" s="10">
        <v>82</v>
      </c>
      <c r="E114" s="11">
        <f>COUNTIF(G:G,"再就业")+COUNTIF(G:G,"小贷")</f>
        <v>0</v>
      </c>
      <c r="F114" s="11">
        <f t="shared" si="0"/>
        <v>82</v>
      </c>
      <c r="G114" s="10"/>
      <c r="H114" s="10"/>
      <c r="I114" s="11"/>
      <c r="J114" s="16"/>
    </row>
    <row r="115" spans="1:11" ht="22.5" customHeight="1" x14ac:dyDescent="0.15">
      <c r="A115" s="6"/>
      <c r="B115" s="14" t="s">
        <v>216</v>
      </c>
      <c r="C115" s="8" t="s">
        <v>221</v>
      </c>
      <c r="D115" s="10">
        <v>1</v>
      </c>
      <c r="E115" s="11">
        <f>COUNTIF(G:G,C115)</f>
        <v>0</v>
      </c>
      <c r="F115" s="11">
        <f t="shared" si="0"/>
        <v>1</v>
      </c>
      <c r="G115" s="10"/>
      <c r="H115" s="10"/>
      <c r="I115" s="11"/>
      <c r="J115" s="16"/>
    </row>
    <row r="116" spans="1:11" ht="22.5" customHeight="1" x14ac:dyDescent="0.15">
      <c r="A116" s="6"/>
      <c r="B116" s="14" t="s">
        <v>216</v>
      </c>
      <c r="C116" s="8" t="s">
        <v>16</v>
      </c>
      <c r="D116" s="10">
        <v>615</v>
      </c>
      <c r="E116" s="11">
        <f>COUNTIF(G:G,C116)</f>
        <v>0</v>
      </c>
      <c r="F116" s="11">
        <f t="shared" si="0"/>
        <v>615</v>
      </c>
      <c r="G116" s="10"/>
      <c r="H116" s="10"/>
      <c r="I116" s="11"/>
      <c r="J116" s="16"/>
    </row>
    <row r="117" spans="1:11" ht="22.5" customHeight="1" x14ac:dyDescent="0.15">
      <c r="A117" s="6"/>
      <c r="B117" s="14" t="s">
        <v>216</v>
      </c>
      <c r="C117" s="8" t="s">
        <v>49</v>
      </c>
      <c r="D117" s="10">
        <v>913</v>
      </c>
      <c r="E117" s="11">
        <f>COUNTIF(G:G,"*车*")</f>
        <v>101</v>
      </c>
      <c r="F117" s="11">
        <f t="shared" si="0"/>
        <v>1014</v>
      </c>
      <c r="G117" s="10"/>
      <c r="H117" s="10"/>
      <c r="I117" s="11"/>
      <c r="J117" s="16"/>
    </row>
    <row r="118" spans="1:11" ht="22.5" customHeight="1" x14ac:dyDescent="0.15">
      <c r="A118" s="6"/>
      <c r="B118" s="14" t="s">
        <v>216</v>
      </c>
      <c r="C118" s="8" t="s">
        <v>21</v>
      </c>
      <c r="D118" s="10">
        <v>4472</v>
      </c>
      <c r="E118" s="11">
        <f>COUNTIF(G:G,C118)</f>
        <v>0</v>
      </c>
      <c r="F118" s="11">
        <f t="shared" si="0"/>
        <v>4472</v>
      </c>
      <c r="G118" s="10"/>
      <c r="H118" s="10"/>
      <c r="I118" s="11"/>
      <c r="J118" s="16"/>
    </row>
    <row r="119" spans="1:11" ht="22.5" customHeight="1" x14ac:dyDescent="0.15">
      <c r="A119" s="6"/>
      <c r="B119" s="14" t="s">
        <v>216</v>
      </c>
      <c r="C119" s="15" t="s">
        <v>222</v>
      </c>
      <c r="D119" s="16">
        <v>43</v>
      </c>
      <c r="E119" s="11">
        <f>COUNTIF(G:G,C119)</f>
        <v>0</v>
      </c>
      <c r="F119" s="11">
        <f t="shared" si="0"/>
        <v>43</v>
      </c>
      <c r="G119" s="16"/>
      <c r="H119" s="16"/>
      <c r="I119" s="14"/>
      <c r="J119" s="16"/>
    </row>
    <row r="120" spans="1:11" ht="22.5" customHeight="1" x14ac:dyDescent="0.15">
      <c r="A120" s="24"/>
      <c r="B120" s="24"/>
      <c r="C120" s="25"/>
      <c r="D120" s="26">
        <f t="shared" ref="D120:F120" si="1">SUM(D111:D119)</f>
        <v>7497</v>
      </c>
      <c r="E120" s="26">
        <f t="shared" si="1"/>
        <v>102</v>
      </c>
      <c r="F120" s="26">
        <f t="shared" si="1"/>
        <v>7599</v>
      </c>
      <c r="G120" s="19"/>
      <c r="H120" s="19"/>
      <c r="I120" s="18"/>
      <c r="J120" s="18"/>
    </row>
    <row r="121" spans="1:11" ht="39.950000000000003" customHeight="1" x14ac:dyDescent="0.15">
      <c r="A121" s="55" t="s">
        <v>223</v>
      </c>
      <c r="B121" s="55"/>
      <c r="C121" s="56"/>
      <c r="D121" s="55"/>
      <c r="E121" s="55"/>
      <c r="F121" s="57"/>
      <c r="G121" s="21"/>
      <c r="H121" s="22"/>
      <c r="I121" s="22"/>
      <c r="J121" s="22"/>
    </row>
    <row r="122" spans="1:11" ht="36.950000000000003" customHeight="1" x14ac:dyDescent="0.15">
      <c r="A122" s="58" t="s">
        <v>224</v>
      </c>
      <c r="B122" s="58"/>
      <c r="C122" s="27"/>
      <c r="D122" s="59" t="s">
        <v>225</v>
      </c>
      <c r="E122" s="57"/>
      <c r="F122" s="28"/>
      <c r="G122" s="21"/>
      <c r="H122" s="22"/>
      <c r="I122" s="22"/>
      <c r="J122" s="22"/>
    </row>
    <row r="123" spans="1:11" ht="36" customHeight="1" x14ac:dyDescent="0.15">
      <c r="A123" s="58" t="s">
        <v>226</v>
      </c>
      <c r="B123" s="58"/>
      <c r="C123" s="29"/>
      <c r="D123" s="59" t="s">
        <v>225</v>
      </c>
      <c r="E123" s="57"/>
      <c r="F123" s="30"/>
      <c r="G123" s="21"/>
      <c r="H123" s="22"/>
      <c r="I123" s="22"/>
      <c r="J123" s="22"/>
    </row>
    <row r="124" spans="1:11" ht="27" customHeight="1" x14ac:dyDescent="0.15">
      <c r="A124" s="58" t="s">
        <v>227</v>
      </c>
      <c r="B124" s="58"/>
      <c r="C124" s="29"/>
      <c r="D124" s="60" t="s">
        <v>225</v>
      </c>
      <c r="E124" s="61"/>
      <c r="F124" s="31"/>
      <c r="G124" s="32"/>
      <c r="H124" s="33"/>
      <c r="I124" s="33"/>
      <c r="J124" s="33"/>
    </row>
    <row r="125" spans="1:11" ht="30" customHeight="1" x14ac:dyDescent="0.15">
      <c r="A125" s="58" t="s">
        <v>227</v>
      </c>
      <c r="B125" s="58"/>
      <c r="C125" s="34"/>
      <c r="D125" s="60" t="s">
        <v>225</v>
      </c>
      <c r="E125" s="60"/>
      <c r="F125" s="6"/>
      <c r="G125" s="6"/>
      <c r="H125" s="5"/>
      <c r="I125" s="5"/>
      <c r="J125" s="35"/>
      <c r="K125" s="36"/>
    </row>
    <row r="126" spans="1:11" ht="22.5" customHeight="1" x14ac:dyDescent="0.15"/>
    <row r="160" spans="1:10" ht="13.5" x14ac:dyDescent="0.15">
      <c r="A160" s="62"/>
      <c r="B160" s="62"/>
      <c r="C160" s="63"/>
      <c r="D160" s="63"/>
      <c r="E160" s="63"/>
      <c r="F160" s="63"/>
      <c r="G160" s="63"/>
      <c r="H160" s="63"/>
      <c r="I160" s="63"/>
      <c r="J160" s="63"/>
    </row>
    <row r="161" spans="1:10" ht="13.5" x14ac:dyDescent="0.15">
      <c r="A161" s="62"/>
      <c r="B161" s="62"/>
      <c r="C161" s="63"/>
      <c r="D161" s="63"/>
      <c r="E161" s="63"/>
      <c r="F161" s="63"/>
      <c r="G161" s="63"/>
      <c r="H161" s="63"/>
      <c r="I161" s="63"/>
      <c r="J161" s="63"/>
    </row>
    <row r="162" spans="1:10" ht="13.5" x14ac:dyDescent="0.15">
      <c r="A162" s="62"/>
      <c r="B162" s="62"/>
      <c r="C162" s="63"/>
      <c r="D162" s="63"/>
      <c r="E162" s="63"/>
      <c r="F162" s="63"/>
      <c r="G162" s="63"/>
      <c r="H162" s="63"/>
      <c r="I162" s="63"/>
      <c r="J162" s="63"/>
    </row>
    <row r="163" spans="1:10" ht="13.5" x14ac:dyDescent="0.15">
      <c r="A163" s="62"/>
      <c r="B163" s="62"/>
      <c r="C163" s="63"/>
      <c r="D163" s="63"/>
      <c r="E163" s="63"/>
      <c r="F163" s="63"/>
      <c r="G163" s="63"/>
      <c r="H163" s="63"/>
      <c r="I163" s="63"/>
      <c r="J163" s="63"/>
    </row>
    <row r="164" spans="1:10" ht="13.5" x14ac:dyDescent="0.15">
      <c r="A164" s="62"/>
      <c r="B164" s="62"/>
      <c r="C164" s="63"/>
      <c r="D164" s="63"/>
      <c r="E164" s="63"/>
      <c r="F164" s="63"/>
      <c r="G164" s="63"/>
      <c r="H164" s="63"/>
      <c r="I164" s="63"/>
      <c r="J164" s="63"/>
    </row>
    <row r="165" spans="1:10" ht="13.5" x14ac:dyDescent="0.15">
      <c r="A165" s="62"/>
      <c r="B165" s="62"/>
      <c r="C165" s="63"/>
      <c r="D165" s="63"/>
      <c r="E165" s="63"/>
      <c r="F165" s="63"/>
      <c r="G165" s="63"/>
      <c r="H165" s="63"/>
      <c r="I165" s="63"/>
      <c r="J165" s="63"/>
    </row>
    <row r="166" spans="1:10" ht="13.5" x14ac:dyDescent="0.15">
      <c r="A166" s="62"/>
      <c r="B166" s="62"/>
      <c r="C166" s="63"/>
      <c r="D166" s="63"/>
      <c r="E166" s="63"/>
      <c r="F166" s="63"/>
      <c r="G166" s="63"/>
      <c r="H166" s="63"/>
      <c r="I166" s="63"/>
      <c r="J166" s="63"/>
    </row>
    <row r="167" spans="1:10" ht="13.5" x14ac:dyDescent="0.15">
      <c r="A167" s="62"/>
      <c r="B167" s="62"/>
      <c r="C167" s="63"/>
      <c r="D167" s="63"/>
      <c r="E167" s="63"/>
      <c r="F167" s="63"/>
      <c r="G167" s="63"/>
      <c r="H167" s="63"/>
      <c r="I167" s="63"/>
      <c r="J167" s="63"/>
    </row>
    <row r="168" spans="1:10" ht="13.5" x14ac:dyDescent="0.15">
      <c r="A168" s="62"/>
      <c r="B168" s="62"/>
      <c r="C168" s="63"/>
      <c r="D168" s="63"/>
      <c r="E168" s="62"/>
      <c r="F168" s="63"/>
      <c r="G168" s="63"/>
      <c r="H168" s="62"/>
      <c r="I168" s="62"/>
      <c r="J168" s="62"/>
    </row>
  </sheetData>
  <autoFilter ref="B4:I106" xr:uid="{00000000-0009-0000-0000-000002000000}"/>
  <mergeCells count="18">
    <mergeCell ref="A168:J168"/>
    <mergeCell ref="A160:B167"/>
    <mergeCell ref="C160:J161"/>
    <mergeCell ref="C162:J163"/>
    <mergeCell ref="C164:J165"/>
    <mergeCell ref="C166:J167"/>
    <mergeCell ref="A123:B123"/>
    <mergeCell ref="D123:E123"/>
    <mergeCell ref="A124:B124"/>
    <mergeCell ref="D124:E124"/>
    <mergeCell ref="A125:B125"/>
    <mergeCell ref="D125:E125"/>
    <mergeCell ref="A1:J1"/>
    <mergeCell ref="A2:J2"/>
    <mergeCell ref="A3:J3"/>
    <mergeCell ref="A121:F121"/>
    <mergeCell ref="A122:B122"/>
    <mergeCell ref="D122:E122"/>
  </mergeCells>
  <phoneticPr fontId="11" type="noConversion"/>
  <dataValidations count="1">
    <dataValidation type="list" allowBlank="1" showInputMessage="1" showErrorMessage="1" sqref="J112:J116 J117:J119" xr:uid="{00000000-0002-0000-0200-000000000000}">
      <formula1>$U$2:$U$3</formula1>
    </dataValidation>
  </dataValidations>
  <pageMargins left="0.70069444444444495" right="0.70069444444444495" top="0.75138888888888899" bottom="0.75138888888888899" header="0.29861111111111099" footer="0.29861111111111099"/>
  <pageSetup paperSize="9" scale="79" fitToHeight="0" orientation="portrait" r:id="rId1"/>
  <headerFooter>
    <oddFooter>&amp;C第 &amp;P 页，共 &amp;N 页</oddFooter>
  </headerFooter>
  <rowBreaks count="1" manualBreakCount="1">
    <brk id="110" max="9" man="1"/>
  </rowBreaks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K67"/>
  <sheetViews>
    <sheetView view="pageBreakPreview" zoomScaleNormal="100" workbookViewId="0">
      <pane ySplit="4" topLeftCell="A5" activePane="bottomLeft" state="frozen"/>
      <selection pane="bottomLeft" activeCell="H10" sqref="H10"/>
    </sheetView>
  </sheetViews>
  <sheetFormatPr defaultColWidth="9" defaultRowHeight="23.25" customHeight="1" x14ac:dyDescent="0.15"/>
  <cols>
    <col min="1" max="1" width="5.875" style="2" customWidth="1"/>
    <col min="2" max="2" width="7.625" style="2" customWidth="1"/>
    <col min="3" max="3" width="13" style="4" customWidth="1"/>
    <col min="4" max="4" width="13.25" style="4" customWidth="1"/>
    <col min="5" max="5" width="14.375" style="2" customWidth="1"/>
    <col min="6" max="6" width="11.5" style="4"/>
    <col min="7" max="7" width="8.125" style="4" customWidth="1"/>
    <col min="8" max="8" width="18.125" style="2" customWidth="1"/>
    <col min="9" max="9" width="13.12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9" t="s">
        <v>9</v>
      </c>
      <c r="H4" s="38" t="s">
        <v>10</v>
      </c>
      <c r="I4" s="38" t="s">
        <v>11</v>
      </c>
      <c r="J4" s="37" t="s">
        <v>12</v>
      </c>
    </row>
    <row r="5" spans="1:10" s="3" customFormat="1" ht="30" customHeight="1" x14ac:dyDescent="0.15">
      <c r="A5" s="7">
        <v>1</v>
      </c>
      <c r="B5" s="8">
        <v>5324</v>
      </c>
      <c r="C5" s="42" t="s">
        <v>985</v>
      </c>
      <c r="D5" s="43" t="s">
        <v>986</v>
      </c>
      <c r="E5" s="16" t="s">
        <v>987</v>
      </c>
      <c r="F5" s="16" t="s">
        <v>988</v>
      </c>
      <c r="G5" s="8" t="s">
        <v>218</v>
      </c>
      <c r="H5" s="40" t="s">
        <v>989</v>
      </c>
      <c r="I5" s="10">
        <v>200</v>
      </c>
      <c r="J5" s="9"/>
    </row>
    <row r="6" spans="1:10" s="3" customFormat="1" ht="24" x14ac:dyDescent="0.15">
      <c r="A6" s="7">
        <v>2</v>
      </c>
      <c r="B6" s="8">
        <v>5322</v>
      </c>
      <c r="C6" s="42" t="s">
        <v>990</v>
      </c>
      <c r="D6" s="43" t="s">
        <v>991</v>
      </c>
      <c r="E6" s="17" t="s">
        <v>992</v>
      </c>
      <c r="F6" s="17" t="s">
        <v>993</v>
      </c>
      <c r="G6" s="8" t="s">
        <v>218</v>
      </c>
      <c r="H6" s="40" t="s">
        <v>994</v>
      </c>
      <c r="I6" s="11">
        <v>198</v>
      </c>
      <c r="J6" s="9"/>
    </row>
    <row r="7" spans="1:10" s="3" customFormat="1" ht="24" x14ac:dyDescent="0.15">
      <c r="A7" s="7">
        <v>3</v>
      </c>
      <c r="B7" s="8">
        <v>5323</v>
      </c>
      <c r="C7" s="46" t="s">
        <v>995</v>
      </c>
      <c r="D7" s="10" t="s">
        <v>996</v>
      </c>
      <c r="E7" s="9" t="s">
        <v>997</v>
      </c>
      <c r="F7" s="9" t="s">
        <v>998</v>
      </c>
      <c r="G7" s="8" t="s">
        <v>218</v>
      </c>
      <c r="H7" s="23" t="s">
        <v>999</v>
      </c>
      <c r="I7" s="11">
        <v>55</v>
      </c>
      <c r="J7" s="9"/>
    </row>
    <row r="8" spans="1:10" s="3" customFormat="1" ht="13.5" x14ac:dyDescent="0.15">
      <c r="A8" s="7"/>
      <c r="B8" s="8"/>
      <c r="C8" s="9"/>
      <c r="D8" s="10"/>
      <c r="E8" s="9"/>
      <c r="F8" s="9"/>
      <c r="G8" s="10"/>
      <c r="H8" s="23"/>
      <c r="I8" s="11"/>
      <c r="J8" s="9"/>
    </row>
    <row r="9" spans="1:10" s="3" customFormat="1" ht="22.5" customHeight="1" x14ac:dyDescent="0.15">
      <c r="A9" s="7"/>
      <c r="B9" s="8"/>
      <c r="C9" s="9"/>
      <c r="D9" s="11"/>
      <c r="E9" s="11"/>
      <c r="F9" s="11"/>
      <c r="G9" s="10"/>
      <c r="H9" s="12"/>
      <c r="I9" s="11"/>
      <c r="J9" s="9"/>
    </row>
    <row r="10" spans="1:10" s="3" customFormat="1" ht="22.5" customHeight="1" x14ac:dyDescent="0.15">
      <c r="A10" s="7"/>
      <c r="B10" s="14" t="s">
        <v>216</v>
      </c>
      <c r="C10" s="9" t="s">
        <v>217</v>
      </c>
      <c r="D10" s="11">
        <v>1</v>
      </c>
      <c r="E10" s="11">
        <f>COUNTIF(G:G,C10)</f>
        <v>0</v>
      </c>
      <c r="F10" s="11">
        <f t="shared" ref="F10:F18" si="0">D10+E10</f>
        <v>1</v>
      </c>
      <c r="G10" s="10"/>
      <c r="H10" s="12"/>
      <c r="I10" s="11"/>
      <c r="J10" s="9"/>
    </row>
    <row r="11" spans="1:10" ht="22.5" customHeight="1" x14ac:dyDescent="0.15">
      <c r="A11" s="6"/>
      <c r="B11" s="14" t="s">
        <v>216</v>
      </c>
      <c r="C11" s="9" t="s">
        <v>218</v>
      </c>
      <c r="D11" s="9">
        <v>967</v>
      </c>
      <c r="E11" s="11">
        <f>COUNTIF(G:G,C11)</f>
        <v>3</v>
      </c>
      <c r="F11" s="11">
        <f t="shared" si="0"/>
        <v>970</v>
      </c>
      <c r="G11" s="9"/>
      <c r="H11" s="9"/>
      <c r="I11" s="9"/>
      <c r="J11" s="16"/>
    </row>
    <row r="12" spans="1:10" ht="22.5" customHeight="1" x14ac:dyDescent="0.15">
      <c r="A12" s="6"/>
      <c r="B12" s="14" t="s">
        <v>216</v>
      </c>
      <c r="C12" s="8" t="s">
        <v>219</v>
      </c>
      <c r="D12" s="10">
        <v>403</v>
      </c>
      <c r="E12" s="11">
        <f>COUNTIF(G:G,C12)</f>
        <v>0</v>
      </c>
      <c r="F12" s="11">
        <f t="shared" si="0"/>
        <v>403</v>
      </c>
      <c r="G12" s="9"/>
      <c r="H12" s="9"/>
      <c r="I12" s="9"/>
      <c r="J12" s="16"/>
    </row>
    <row r="13" spans="1:10" ht="22.5" customHeight="1" x14ac:dyDescent="0.15">
      <c r="A13" s="6"/>
      <c r="B13" s="14" t="s">
        <v>216</v>
      </c>
      <c r="C13" s="8" t="s">
        <v>220</v>
      </c>
      <c r="D13" s="10">
        <v>82</v>
      </c>
      <c r="E13" s="11">
        <f>COUNTIF(G:G,"再就业")+COUNTIF(G:G,"小贷")</f>
        <v>0</v>
      </c>
      <c r="F13" s="11">
        <f t="shared" si="0"/>
        <v>82</v>
      </c>
      <c r="G13" s="10"/>
      <c r="H13" s="10"/>
      <c r="I13" s="11"/>
      <c r="J13" s="16"/>
    </row>
    <row r="14" spans="1:10" ht="22.5" customHeight="1" x14ac:dyDescent="0.15">
      <c r="A14" s="6"/>
      <c r="B14" s="14" t="s">
        <v>216</v>
      </c>
      <c r="C14" s="8" t="s">
        <v>221</v>
      </c>
      <c r="D14" s="10">
        <v>1</v>
      </c>
      <c r="E14" s="11">
        <f>COUNTIF(G:G,C14)</f>
        <v>0</v>
      </c>
      <c r="F14" s="11">
        <f t="shared" si="0"/>
        <v>1</v>
      </c>
      <c r="G14" s="10"/>
      <c r="H14" s="10"/>
      <c r="I14" s="11"/>
      <c r="J14" s="16"/>
    </row>
    <row r="15" spans="1:10" ht="22.5" customHeight="1" x14ac:dyDescent="0.15">
      <c r="A15" s="6"/>
      <c r="B15" s="14" t="s">
        <v>216</v>
      </c>
      <c r="C15" s="8" t="s">
        <v>16</v>
      </c>
      <c r="D15" s="10">
        <v>616</v>
      </c>
      <c r="E15" s="11">
        <f>COUNTIF(G:G,C15)</f>
        <v>0</v>
      </c>
      <c r="F15" s="11">
        <f t="shared" si="0"/>
        <v>616</v>
      </c>
      <c r="G15" s="10"/>
      <c r="H15" s="10"/>
      <c r="I15" s="11"/>
      <c r="J15" s="16"/>
    </row>
    <row r="16" spans="1:10" ht="22.5" customHeight="1" x14ac:dyDescent="0.15">
      <c r="A16" s="6"/>
      <c r="B16" s="14" t="s">
        <v>216</v>
      </c>
      <c r="C16" s="8" t="s">
        <v>49</v>
      </c>
      <c r="D16" s="10">
        <v>918</v>
      </c>
      <c r="E16" s="11">
        <f>COUNTIF(G:G,"*汽车*")</f>
        <v>0</v>
      </c>
      <c r="F16" s="11">
        <f t="shared" si="0"/>
        <v>918</v>
      </c>
      <c r="G16" s="10"/>
      <c r="H16" s="10"/>
      <c r="I16" s="11"/>
      <c r="J16" s="16"/>
    </row>
    <row r="17" spans="1:11" ht="22.5" customHeight="1" x14ac:dyDescent="0.15">
      <c r="A17" s="6"/>
      <c r="B17" s="14" t="s">
        <v>216</v>
      </c>
      <c r="C17" s="8" t="s">
        <v>21</v>
      </c>
      <c r="D17" s="10">
        <v>4486</v>
      </c>
      <c r="E17" s="11">
        <f>COUNTIF(G:G,C17)</f>
        <v>0</v>
      </c>
      <c r="F17" s="11">
        <f t="shared" si="0"/>
        <v>4486</v>
      </c>
      <c r="G17" s="10"/>
      <c r="H17" s="10"/>
      <c r="I17" s="11"/>
      <c r="J17" s="16"/>
    </row>
    <row r="18" spans="1:11" ht="22.5" customHeight="1" x14ac:dyDescent="0.15">
      <c r="A18" s="6"/>
      <c r="B18" s="14" t="s">
        <v>216</v>
      </c>
      <c r="C18" s="15" t="s">
        <v>222</v>
      </c>
      <c r="D18" s="16">
        <v>43</v>
      </c>
      <c r="E18" s="11">
        <f>COUNTIF(G:G,C18)</f>
        <v>0</v>
      </c>
      <c r="F18" s="11">
        <f t="shared" si="0"/>
        <v>43</v>
      </c>
      <c r="G18" s="16"/>
      <c r="H18" s="16"/>
      <c r="I18" s="14"/>
      <c r="J18" s="16"/>
    </row>
    <row r="19" spans="1:11" ht="22.5" customHeight="1" x14ac:dyDescent="0.15">
      <c r="A19" s="24"/>
      <c r="B19" s="24"/>
      <c r="C19" s="25"/>
      <c r="D19" s="26">
        <f t="shared" ref="D19:F19" si="1">SUM(D10:D18)</f>
        <v>7517</v>
      </c>
      <c r="E19" s="26">
        <f t="shared" si="1"/>
        <v>3</v>
      </c>
      <c r="F19" s="26">
        <f t="shared" si="1"/>
        <v>7520</v>
      </c>
      <c r="G19" s="19"/>
      <c r="H19" s="19"/>
      <c r="I19" s="18"/>
      <c r="J19" s="18"/>
    </row>
    <row r="20" spans="1:11" ht="39.950000000000003" customHeight="1" x14ac:dyDescent="0.15">
      <c r="A20" s="55" t="s">
        <v>223</v>
      </c>
      <c r="B20" s="55"/>
      <c r="C20" s="56"/>
      <c r="D20" s="55"/>
      <c r="E20" s="55"/>
      <c r="F20" s="57"/>
      <c r="G20" s="21"/>
      <c r="H20" s="22"/>
      <c r="I20" s="22"/>
      <c r="J20" s="22"/>
    </row>
    <row r="21" spans="1:11" ht="36.950000000000003" customHeight="1" x14ac:dyDescent="0.15">
      <c r="A21" s="58" t="s">
        <v>224</v>
      </c>
      <c r="B21" s="58"/>
      <c r="C21" s="27"/>
      <c r="D21" s="59" t="s">
        <v>225</v>
      </c>
      <c r="E21" s="57"/>
      <c r="F21" s="28"/>
      <c r="G21" s="21"/>
      <c r="H21" s="22"/>
      <c r="I21" s="22"/>
      <c r="J21" s="22"/>
    </row>
    <row r="22" spans="1:11" ht="36" customHeight="1" x14ac:dyDescent="0.15">
      <c r="A22" s="58" t="s">
        <v>226</v>
      </c>
      <c r="B22" s="58"/>
      <c r="C22" s="29"/>
      <c r="D22" s="59" t="s">
        <v>225</v>
      </c>
      <c r="E22" s="57"/>
      <c r="F22" s="30"/>
      <c r="G22" s="21"/>
      <c r="H22" s="22"/>
      <c r="I22" s="22"/>
      <c r="J22" s="22"/>
    </row>
    <row r="23" spans="1:11" ht="27" customHeight="1" x14ac:dyDescent="0.15">
      <c r="A23" s="58" t="s">
        <v>227</v>
      </c>
      <c r="B23" s="58"/>
      <c r="C23" s="29"/>
      <c r="D23" s="60" t="s">
        <v>225</v>
      </c>
      <c r="E23" s="61"/>
      <c r="F23" s="31"/>
      <c r="G23" s="32"/>
      <c r="H23" s="33"/>
      <c r="I23" s="33"/>
      <c r="J23" s="33"/>
    </row>
    <row r="24" spans="1:11" ht="30" customHeight="1" x14ac:dyDescent="0.15">
      <c r="A24" s="58" t="s">
        <v>227</v>
      </c>
      <c r="B24" s="58"/>
      <c r="C24" s="34"/>
      <c r="D24" s="60" t="s">
        <v>225</v>
      </c>
      <c r="E24" s="60"/>
      <c r="F24" s="6"/>
      <c r="G24" s="6"/>
      <c r="H24" s="5"/>
      <c r="I24" s="5"/>
      <c r="J24" s="35"/>
      <c r="K24" s="36"/>
    </row>
    <row r="25" spans="1:11" ht="22.5" customHeight="1" x14ac:dyDescent="0.15"/>
    <row r="59" spans="1:10" ht="13.5" x14ac:dyDescent="0.15">
      <c r="A59" s="62"/>
      <c r="B59" s="62"/>
      <c r="C59" s="63"/>
      <c r="D59" s="63"/>
      <c r="E59" s="63"/>
      <c r="F59" s="63"/>
      <c r="G59" s="63"/>
      <c r="H59" s="63"/>
      <c r="I59" s="63"/>
      <c r="J59" s="63"/>
    </row>
    <row r="60" spans="1:10" ht="13.5" x14ac:dyDescent="0.15">
      <c r="A60" s="62"/>
      <c r="B60" s="62"/>
      <c r="C60" s="63"/>
      <c r="D60" s="63"/>
      <c r="E60" s="63"/>
      <c r="F60" s="63"/>
      <c r="G60" s="63"/>
      <c r="H60" s="63"/>
      <c r="I60" s="63"/>
      <c r="J60" s="63"/>
    </row>
    <row r="61" spans="1:10" ht="13.5" x14ac:dyDescent="0.15">
      <c r="A61" s="62"/>
      <c r="B61" s="62"/>
      <c r="C61" s="63"/>
      <c r="D61" s="63"/>
      <c r="E61" s="63"/>
      <c r="F61" s="63"/>
      <c r="G61" s="63"/>
      <c r="H61" s="63"/>
      <c r="I61" s="63"/>
      <c r="J61" s="63"/>
    </row>
    <row r="62" spans="1:10" ht="13.5" x14ac:dyDescent="0.15">
      <c r="A62" s="62"/>
      <c r="B62" s="62"/>
      <c r="C62" s="63"/>
      <c r="D62" s="63"/>
      <c r="E62" s="63"/>
      <c r="F62" s="63"/>
      <c r="G62" s="63"/>
      <c r="H62" s="63"/>
      <c r="I62" s="63"/>
      <c r="J62" s="63"/>
    </row>
    <row r="63" spans="1:10" ht="13.5" x14ac:dyDescent="0.15">
      <c r="A63" s="62"/>
      <c r="B63" s="62"/>
      <c r="C63" s="63"/>
      <c r="D63" s="63"/>
      <c r="E63" s="63"/>
      <c r="F63" s="63"/>
      <c r="G63" s="63"/>
      <c r="H63" s="63"/>
      <c r="I63" s="63"/>
      <c r="J63" s="63"/>
    </row>
    <row r="64" spans="1:10" ht="13.5" x14ac:dyDescent="0.15">
      <c r="A64" s="62"/>
      <c r="B64" s="62"/>
      <c r="C64" s="63"/>
      <c r="D64" s="63"/>
      <c r="E64" s="63"/>
      <c r="F64" s="63"/>
      <c r="G64" s="63"/>
      <c r="H64" s="63"/>
      <c r="I64" s="63"/>
      <c r="J64" s="63"/>
    </row>
    <row r="65" spans="1:10" ht="13.5" x14ac:dyDescent="0.15">
      <c r="A65" s="62"/>
      <c r="B65" s="62"/>
      <c r="C65" s="63"/>
      <c r="D65" s="63"/>
      <c r="E65" s="63"/>
      <c r="F65" s="63"/>
      <c r="G65" s="63"/>
      <c r="H65" s="63"/>
      <c r="I65" s="63"/>
      <c r="J65" s="63"/>
    </row>
    <row r="66" spans="1:10" ht="13.5" x14ac:dyDescent="0.15">
      <c r="A66" s="62"/>
      <c r="B66" s="62"/>
      <c r="C66" s="63"/>
      <c r="D66" s="63"/>
      <c r="E66" s="63"/>
      <c r="F66" s="63"/>
      <c r="G66" s="63"/>
      <c r="H66" s="63"/>
      <c r="I66" s="63"/>
      <c r="J66" s="63"/>
    </row>
    <row r="67" spans="1:10" ht="13.5" x14ac:dyDescent="0.15">
      <c r="A67" s="62"/>
      <c r="B67" s="62"/>
      <c r="C67" s="63"/>
      <c r="D67" s="63"/>
      <c r="E67" s="62"/>
      <c r="F67" s="63"/>
      <c r="G67" s="63"/>
      <c r="H67" s="62"/>
      <c r="I67" s="62"/>
      <c r="J67" s="62"/>
    </row>
  </sheetData>
  <autoFilter ref="B4:I7" xr:uid="{00000000-0009-0000-0000-000003000000}"/>
  <mergeCells count="18">
    <mergeCell ref="A67:J67"/>
    <mergeCell ref="A59:B66"/>
    <mergeCell ref="C59:J60"/>
    <mergeCell ref="C61:J62"/>
    <mergeCell ref="C63:J64"/>
    <mergeCell ref="C65:J66"/>
    <mergeCell ref="A22:B22"/>
    <mergeCell ref="D22:E22"/>
    <mergeCell ref="A23:B23"/>
    <mergeCell ref="D23:E23"/>
    <mergeCell ref="A24:B24"/>
    <mergeCell ref="D24:E24"/>
    <mergeCell ref="A1:J1"/>
    <mergeCell ref="A2:J2"/>
    <mergeCell ref="A3:J3"/>
    <mergeCell ref="A20:F20"/>
    <mergeCell ref="A21:B21"/>
    <mergeCell ref="D21:E21"/>
  </mergeCells>
  <phoneticPr fontId="11" type="noConversion"/>
  <dataValidations count="1">
    <dataValidation type="list" allowBlank="1" showInputMessage="1" showErrorMessage="1" sqref="J11:J15 J16:J18" xr:uid="{00000000-0002-0000-0300-000000000000}">
      <formula1>$U$2:$U$3</formula1>
    </dataValidation>
  </dataValidations>
  <pageMargins left="0.70069444444444495" right="0.70069444444444495" top="0.75138888888888899" bottom="0.75138888888888899" header="0.29861111111111099" footer="0.29861111111111099"/>
  <pageSetup paperSize="9" scale="79" fitToHeight="0" orientation="portrait" r:id="rId1"/>
  <headerFooter>
    <oddFooter>&amp;C第 &amp;P 页，共 &amp;N 页</oddFooter>
  </headerFooter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pageSetUpPr fitToPage="1"/>
  </sheetPr>
  <dimension ref="A1:K67"/>
  <sheetViews>
    <sheetView view="pageBreakPreview" zoomScaleNormal="100" workbookViewId="0">
      <pane ySplit="4" topLeftCell="A5" activePane="bottomLeft" state="frozen"/>
      <selection pane="bottomLeft" activeCell="B6" sqref="B6"/>
    </sheetView>
  </sheetViews>
  <sheetFormatPr defaultColWidth="9" defaultRowHeight="23.25" customHeight="1" x14ac:dyDescent="0.15"/>
  <cols>
    <col min="1" max="1" width="5.875" style="2" customWidth="1"/>
    <col min="2" max="2" width="7.625" style="2" customWidth="1"/>
    <col min="3" max="3" width="13" style="4" customWidth="1"/>
    <col min="4" max="4" width="13.25" style="4" customWidth="1"/>
    <col min="5" max="5" width="14.375" style="2" customWidth="1"/>
    <col min="6" max="6" width="11.5" style="4"/>
    <col min="7" max="7" width="8.125" style="4" customWidth="1"/>
    <col min="8" max="8" width="18.125" style="2" customWidth="1"/>
    <col min="9" max="9" width="13.12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9" t="s">
        <v>9</v>
      </c>
      <c r="H4" s="38" t="s">
        <v>10</v>
      </c>
      <c r="I4" s="38" t="s">
        <v>11</v>
      </c>
      <c r="J4" s="37" t="s">
        <v>12</v>
      </c>
    </row>
    <row r="5" spans="1:10" s="3" customFormat="1" ht="30" customHeight="1" x14ac:dyDescent="0.15">
      <c r="A5" s="7">
        <v>1</v>
      </c>
      <c r="B5" s="8">
        <v>4604</v>
      </c>
      <c r="C5" s="42" t="s">
        <v>1000</v>
      </c>
      <c r="D5" s="16" t="s">
        <v>1001</v>
      </c>
      <c r="E5" s="16" t="s">
        <v>1002</v>
      </c>
      <c r="F5" s="16" t="s">
        <v>1002</v>
      </c>
      <c r="G5" s="8" t="s">
        <v>219</v>
      </c>
      <c r="H5" s="40" t="s">
        <v>1003</v>
      </c>
      <c r="I5" s="10">
        <v>79</v>
      </c>
      <c r="J5" s="9"/>
    </row>
    <row r="6" spans="1:10" s="3" customFormat="1" ht="24" x14ac:dyDescent="0.15">
      <c r="A6" s="7">
        <v>2</v>
      </c>
      <c r="B6" s="8">
        <v>4733</v>
      </c>
      <c r="C6" s="42" t="s">
        <v>1004</v>
      </c>
      <c r="D6" s="43" t="s">
        <v>1005</v>
      </c>
      <c r="E6" s="17" t="s">
        <v>1006</v>
      </c>
      <c r="F6" s="17" t="s">
        <v>1006</v>
      </c>
      <c r="G6" s="8" t="s">
        <v>16</v>
      </c>
      <c r="H6" s="40" t="s">
        <v>1007</v>
      </c>
      <c r="I6" s="11">
        <v>54</v>
      </c>
      <c r="J6" s="9"/>
    </row>
    <row r="7" spans="1:10" s="3" customFormat="1" ht="36" x14ac:dyDescent="0.15">
      <c r="A7" s="7">
        <v>3</v>
      </c>
      <c r="B7" s="8">
        <v>122</v>
      </c>
      <c r="C7" s="46" t="s">
        <v>1008</v>
      </c>
      <c r="D7" s="47" t="s">
        <v>1009</v>
      </c>
      <c r="E7" s="9" t="s">
        <v>1010</v>
      </c>
      <c r="F7" s="9" t="s">
        <v>1010</v>
      </c>
      <c r="G7" s="10" t="s">
        <v>222</v>
      </c>
      <c r="H7" s="23" t="s">
        <v>1011</v>
      </c>
      <c r="I7" s="11">
        <v>600.5</v>
      </c>
      <c r="J7" s="9"/>
    </row>
    <row r="8" spans="1:10" s="3" customFormat="1" ht="13.5" x14ac:dyDescent="0.15">
      <c r="A8" s="7"/>
      <c r="B8" s="8"/>
      <c r="C8" s="9"/>
      <c r="D8" s="10"/>
      <c r="E8" s="9"/>
      <c r="F8" s="9"/>
      <c r="G8" s="10"/>
      <c r="H8" s="23"/>
      <c r="I8" s="11"/>
      <c r="J8" s="9"/>
    </row>
    <row r="9" spans="1:10" s="3" customFormat="1" ht="22.5" customHeight="1" x14ac:dyDescent="0.15">
      <c r="A9" s="7"/>
      <c r="B9" s="8"/>
      <c r="C9" s="9"/>
      <c r="D9" s="11"/>
      <c r="E9" s="11"/>
      <c r="F9" s="11"/>
      <c r="G9" s="10"/>
      <c r="H9" s="12"/>
      <c r="I9" s="11"/>
      <c r="J9" s="9"/>
    </row>
    <row r="10" spans="1:10" s="3" customFormat="1" ht="22.5" customHeight="1" x14ac:dyDescent="0.15">
      <c r="A10" s="7"/>
      <c r="B10" s="14" t="s">
        <v>216</v>
      </c>
      <c r="C10" s="9" t="s">
        <v>217</v>
      </c>
      <c r="D10" s="11">
        <v>1</v>
      </c>
      <c r="E10" s="11">
        <f>COUNTIF(G:G,C10)</f>
        <v>0</v>
      </c>
      <c r="F10" s="11">
        <f t="shared" ref="F10:F18" si="0">D10+E10</f>
        <v>1</v>
      </c>
      <c r="G10" s="10"/>
      <c r="H10" s="12"/>
      <c r="I10" s="11"/>
      <c r="J10" s="9"/>
    </row>
    <row r="11" spans="1:10" ht="22.5" customHeight="1" x14ac:dyDescent="0.15">
      <c r="A11" s="6"/>
      <c r="B11" s="14" t="s">
        <v>216</v>
      </c>
      <c r="C11" s="9" t="s">
        <v>218</v>
      </c>
      <c r="D11" s="9">
        <v>968</v>
      </c>
      <c r="E11" s="11">
        <f>COUNTIF(G:G,C11)</f>
        <v>0</v>
      </c>
      <c r="F11" s="11">
        <f t="shared" si="0"/>
        <v>968</v>
      </c>
      <c r="G11" s="9"/>
      <c r="H11" s="9"/>
      <c r="I11" s="9"/>
      <c r="J11" s="16"/>
    </row>
    <row r="12" spans="1:10" ht="22.5" customHeight="1" x14ac:dyDescent="0.15">
      <c r="A12" s="6"/>
      <c r="B12" s="14" t="s">
        <v>216</v>
      </c>
      <c r="C12" s="8" t="s">
        <v>219</v>
      </c>
      <c r="D12" s="10">
        <v>404</v>
      </c>
      <c r="E12" s="11">
        <f>COUNTIF(G:G,C12)</f>
        <v>1</v>
      </c>
      <c r="F12" s="11">
        <f t="shared" si="0"/>
        <v>405</v>
      </c>
      <c r="G12" s="9"/>
      <c r="H12" s="9"/>
      <c r="I12" s="9"/>
      <c r="J12" s="16"/>
    </row>
    <row r="13" spans="1:10" ht="22.5" customHeight="1" x14ac:dyDescent="0.15">
      <c r="A13" s="6"/>
      <c r="B13" s="14" t="s">
        <v>216</v>
      </c>
      <c r="C13" s="8" t="s">
        <v>220</v>
      </c>
      <c r="D13" s="10">
        <v>82</v>
      </c>
      <c r="E13" s="11">
        <f>COUNTIF(G:G,"再就业")+COUNTIF(G:G,"小贷")</f>
        <v>0</v>
      </c>
      <c r="F13" s="11">
        <f t="shared" si="0"/>
        <v>82</v>
      </c>
      <c r="G13" s="10"/>
      <c r="H13" s="10"/>
      <c r="I13" s="11"/>
      <c r="J13" s="16"/>
    </row>
    <row r="14" spans="1:10" ht="22.5" customHeight="1" x14ac:dyDescent="0.15">
      <c r="A14" s="6"/>
      <c r="B14" s="14" t="s">
        <v>216</v>
      </c>
      <c r="C14" s="8" t="s">
        <v>221</v>
      </c>
      <c r="D14" s="10">
        <v>1</v>
      </c>
      <c r="E14" s="11">
        <f>COUNTIF(G:G,C14)</f>
        <v>0</v>
      </c>
      <c r="F14" s="11">
        <f t="shared" si="0"/>
        <v>1</v>
      </c>
      <c r="G14" s="10"/>
      <c r="H14" s="10"/>
      <c r="I14" s="11"/>
      <c r="J14" s="16"/>
    </row>
    <row r="15" spans="1:10" ht="22.5" customHeight="1" x14ac:dyDescent="0.15">
      <c r="A15" s="6"/>
      <c r="B15" s="14" t="s">
        <v>216</v>
      </c>
      <c r="C15" s="8" t="s">
        <v>16</v>
      </c>
      <c r="D15" s="10">
        <v>616</v>
      </c>
      <c r="E15" s="11">
        <f>COUNTIF(G:G,C15)</f>
        <v>1</v>
      </c>
      <c r="F15" s="11">
        <f t="shared" si="0"/>
        <v>617</v>
      </c>
      <c r="G15" s="10"/>
      <c r="H15" s="10"/>
      <c r="I15" s="11"/>
      <c r="J15" s="16"/>
    </row>
    <row r="16" spans="1:10" ht="22.5" customHeight="1" x14ac:dyDescent="0.15">
      <c r="A16" s="6"/>
      <c r="B16" s="14" t="s">
        <v>216</v>
      </c>
      <c r="C16" s="8" t="s">
        <v>49</v>
      </c>
      <c r="D16" s="10">
        <v>919</v>
      </c>
      <c r="E16" s="11">
        <f>COUNTIF(G:G,"*汽车*")</f>
        <v>0</v>
      </c>
      <c r="F16" s="11">
        <f t="shared" si="0"/>
        <v>919</v>
      </c>
      <c r="G16" s="10"/>
      <c r="H16" s="10"/>
      <c r="I16" s="11"/>
      <c r="J16" s="16"/>
    </row>
    <row r="17" spans="1:11" ht="22.5" customHeight="1" x14ac:dyDescent="0.15">
      <c r="A17" s="6"/>
      <c r="B17" s="14" t="s">
        <v>216</v>
      </c>
      <c r="C17" s="8" t="s">
        <v>21</v>
      </c>
      <c r="D17" s="10">
        <v>4490</v>
      </c>
      <c r="E17" s="11">
        <f>COUNTIF(G:G,C17)</f>
        <v>0</v>
      </c>
      <c r="F17" s="11">
        <f t="shared" si="0"/>
        <v>4490</v>
      </c>
      <c r="G17" s="10"/>
      <c r="H17" s="10"/>
      <c r="I17" s="11"/>
      <c r="J17" s="16"/>
    </row>
    <row r="18" spans="1:11" ht="22.5" customHeight="1" x14ac:dyDescent="0.15">
      <c r="A18" s="6"/>
      <c r="B18" s="14" t="s">
        <v>216</v>
      </c>
      <c r="C18" s="15" t="s">
        <v>222</v>
      </c>
      <c r="D18" s="16">
        <v>42</v>
      </c>
      <c r="E18" s="11">
        <f>COUNTIF(G:G,C18)</f>
        <v>1</v>
      </c>
      <c r="F18" s="11">
        <f t="shared" si="0"/>
        <v>43</v>
      </c>
      <c r="G18" s="16"/>
      <c r="H18" s="16"/>
      <c r="I18" s="14"/>
      <c r="J18" s="16"/>
    </row>
    <row r="19" spans="1:11" ht="22.5" customHeight="1" x14ac:dyDescent="0.15">
      <c r="A19" s="24"/>
      <c r="B19" s="24"/>
      <c r="C19" s="25"/>
      <c r="D19" s="26">
        <f t="shared" ref="D19:F19" si="1">SUM(D10:D18)</f>
        <v>7523</v>
      </c>
      <c r="E19" s="26">
        <f t="shared" si="1"/>
        <v>3</v>
      </c>
      <c r="F19" s="26">
        <f t="shared" si="1"/>
        <v>7526</v>
      </c>
      <c r="G19" s="19"/>
      <c r="H19" s="19"/>
      <c r="I19" s="18"/>
      <c r="J19" s="18"/>
    </row>
    <row r="20" spans="1:11" ht="39.950000000000003" customHeight="1" x14ac:dyDescent="0.15">
      <c r="A20" s="55" t="s">
        <v>223</v>
      </c>
      <c r="B20" s="55"/>
      <c r="C20" s="56"/>
      <c r="D20" s="55"/>
      <c r="E20" s="55"/>
      <c r="F20" s="57"/>
      <c r="G20" s="21"/>
      <c r="H20" s="22"/>
      <c r="I20" s="22"/>
      <c r="J20" s="22"/>
    </row>
    <row r="21" spans="1:11" ht="36.950000000000003" customHeight="1" x14ac:dyDescent="0.15">
      <c r="A21" s="58" t="s">
        <v>224</v>
      </c>
      <c r="B21" s="58"/>
      <c r="C21" s="27"/>
      <c r="D21" s="59" t="s">
        <v>225</v>
      </c>
      <c r="E21" s="57"/>
      <c r="F21" s="28"/>
      <c r="G21" s="21"/>
      <c r="H21" s="22"/>
      <c r="I21" s="22"/>
      <c r="J21" s="22"/>
    </row>
    <row r="22" spans="1:11" ht="36" customHeight="1" x14ac:dyDescent="0.15">
      <c r="A22" s="58" t="s">
        <v>226</v>
      </c>
      <c r="B22" s="58"/>
      <c r="C22" s="29"/>
      <c r="D22" s="59" t="s">
        <v>225</v>
      </c>
      <c r="E22" s="57"/>
      <c r="F22" s="30"/>
      <c r="G22" s="21"/>
      <c r="H22" s="22"/>
      <c r="I22" s="22"/>
      <c r="J22" s="22"/>
    </row>
    <row r="23" spans="1:11" ht="27" customHeight="1" x14ac:dyDescent="0.15">
      <c r="A23" s="58" t="s">
        <v>227</v>
      </c>
      <c r="B23" s="58"/>
      <c r="C23" s="29"/>
      <c r="D23" s="60" t="s">
        <v>225</v>
      </c>
      <c r="E23" s="61"/>
      <c r="F23" s="31"/>
      <c r="G23" s="32"/>
      <c r="H23" s="33"/>
      <c r="I23" s="33"/>
      <c r="J23" s="33"/>
    </row>
    <row r="24" spans="1:11" ht="30" customHeight="1" x14ac:dyDescent="0.15">
      <c r="A24" s="58" t="s">
        <v>227</v>
      </c>
      <c r="B24" s="58"/>
      <c r="C24" s="34"/>
      <c r="D24" s="60" t="s">
        <v>225</v>
      </c>
      <c r="E24" s="60"/>
      <c r="F24" s="6"/>
      <c r="G24" s="6"/>
      <c r="H24" s="5"/>
      <c r="I24" s="5"/>
      <c r="J24" s="35"/>
      <c r="K24" s="36"/>
    </row>
    <row r="25" spans="1:11" ht="22.5" customHeight="1" x14ac:dyDescent="0.15"/>
    <row r="59" spans="1:10" ht="13.5" x14ac:dyDescent="0.15">
      <c r="A59" s="62"/>
      <c r="B59" s="62"/>
      <c r="C59" s="63"/>
      <c r="D59" s="63"/>
      <c r="E59" s="63"/>
      <c r="F59" s="63"/>
      <c r="G59" s="63"/>
      <c r="H59" s="63"/>
      <c r="I59" s="63"/>
      <c r="J59" s="63"/>
    </row>
    <row r="60" spans="1:10" ht="13.5" x14ac:dyDescent="0.15">
      <c r="A60" s="62"/>
      <c r="B60" s="62"/>
      <c r="C60" s="63"/>
      <c r="D60" s="63"/>
      <c r="E60" s="63"/>
      <c r="F60" s="63"/>
      <c r="G60" s="63"/>
      <c r="H60" s="63"/>
      <c r="I60" s="63"/>
      <c r="J60" s="63"/>
    </row>
    <row r="61" spans="1:10" ht="13.5" x14ac:dyDescent="0.15">
      <c r="A61" s="62"/>
      <c r="B61" s="62"/>
      <c r="C61" s="63"/>
      <c r="D61" s="63"/>
      <c r="E61" s="63"/>
      <c r="F61" s="63"/>
      <c r="G61" s="63"/>
      <c r="H61" s="63"/>
      <c r="I61" s="63"/>
      <c r="J61" s="63"/>
    </row>
    <row r="62" spans="1:10" ht="13.5" x14ac:dyDescent="0.15">
      <c r="A62" s="62"/>
      <c r="B62" s="62"/>
      <c r="C62" s="63"/>
      <c r="D62" s="63"/>
      <c r="E62" s="63"/>
      <c r="F62" s="63"/>
      <c r="G62" s="63"/>
      <c r="H62" s="63"/>
      <c r="I62" s="63"/>
      <c r="J62" s="63"/>
    </row>
    <row r="63" spans="1:10" ht="13.5" x14ac:dyDescent="0.15">
      <c r="A63" s="62"/>
      <c r="B63" s="62"/>
      <c r="C63" s="63"/>
      <c r="D63" s="63"/>
      <c r="E63" s="63"/>
      <c r="F63" s="63"/>
      <c r="G63" s="63"/>
      <c r="H63" s="63"/>
      <c r="I63" s="63"/>
      <c r="J63" s="63"/>
    </row>
    <row r="64" spans="1:10" ht="13.5" x14ac:dyDescent="0.15">
      <c r="A64" s="62"/>
      <c r="B64" s="62"/>
      <c r="C64" s="63"/>
      <c r="D64" s="63"/>
      <c r="E64" s="63"/>
      <c r="F64" s="63"/>
      <c r="G64" s="63"/>
      <c r="H64" s="63"/>
      <c r="I64" s="63"/>
      <c r="J64" s="63"/>
    </row>
    <row r="65" spans="1:10" ht="13.5" x14ac:dyDescent="0.15">
      <c r="A65" s="62"/>
      <c r="B65" s="62"/>
      <c r="C65" s="63"/>
      <c r="D65" s="63"/>
      <c r="E65" s="63"/>
      <c r="F65" s="63"/>
      <c r="G65" s="63"/>
      <c r="H65" s="63"/>
      <c r="I65" s="63"/>
      <c r="J65" s="63"/>
    </row>
    <row r="66" spans="1:10" ht="13.5" x14ac:dyDescent="0.15">
      <c r="A66" s="62"/>
      <c r="B66" s="62"/>
      <c r="C66" s="63"/>
      <c r="D66" s="63"/>
      <c r="E66" s="63"/>
      <c r="F66" s="63"/>
      <c r="G66" s="63"/>
      <c r="H66" s="63"/>
      <c r="I66" s="63"/>
      <c r="J66" s="63"/>
    </row>
    <row r="67" spans="1:10" ht="13.5" x14ac:dyDescent="0.15">
      <c r="A67" s="62"/>
      <c r="B67" s="62"/>
      <c r="C67" s="63"/>
      <c r="D67" s="63"/>
      <c r="E67" s="62"/>
      <c r="F67" s="63"/>
      <c r="G67" s="63"/>
      <c r="H67" s="62"/>
      <c r="I67" s="62"/>
      <c r="J67" s="62"/>
    </row>
  </sheetData>
  <autoFilter ref="B4:I7" xr:uid="{00000000-0009-0000-0000-000004000000}"/>
  <mergeCells count="18">
    <mergeCell ref="A67:J67"/>
    <mergeCell ref="A59:B66"/>
    <mergeCell ref="C59:J60"/>
    <mergeCell ref="C61:J62"/>
    <mergeCell ref="C63:J64"/>
    <mergeCell ref="C65:J66"/>
    <mergeCell ref="A22:B22"/>
    <mergeCell ref="D22:E22"/>
    <mergeCell ref="A23:B23"/>
    <mergeCell ref="D23:E23"/>
    <mergeCell ref="A24:B24"/>
    <mergeCell ref="D24:E24"/>
    <mergeCell ref="A1:J1"/>
    <mergeCell ref="A2:J2"/>
    <mergeCell ref="A3:J3"/>
    <mergeCell ref="A20:F20"/>
    <mergeCell ref="A21:B21"/>
    <mergeCell ref="D21:E21"/>
  </mergeCells>
  <phoneticPr fontId="11" type="noConversion"/>
  <dataValidations count="1">
    <dataValidation type="list" allowBlank="1" showInputMessage="1" showErrorMessage="1" sqref="J11:J15 J16:J18" xr:uid="{00000000-0002-0000-0400-000000000000}">
      <formula1>$U$2:$U$3</formula1>
    </dataValidation>
  </dataValidations>
  <pageMargins left="0.70069444444444495" right="0.70069444444444495" top="0.75138888888888899" bottom="0.75138888888888899" header="0.29861111111111099" footer="0.29861111111111099"/>
  <pageSetup paperSize="9" scale="79" fitToHeight="0" orientation="portrait" r:id="rId1"/>
  <headerFooter>
    <oddFooter>&amp;C第 &amp;P 页，共 &amp;N 页</oddFooter>
  </headerFooter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K67"/>
  <sheetViews>
    <sheetView view="pageBreakPreview" zoomScaleNormal="100" workbookViewId="0">
      <pane ySplit="4" topLeftCell="A5" activePane="bottomLeft" state="frozen"/>
      <selection pane="bottomLeft" activeCell="F9" sqref="F9"/>
    </sheetView>
  </sheetViews>
  <sheetFormatPr defaultColWidth="9" defaultRowHeight="23.25" customHeight="1" x14ac:dyDescent="0.15"/>
  <cols>
    <col min="1" max="1" width="5.875" style="2" customWidth="1"/>
    <col min="2" max="2" width="7.625" style="2" customWidth="1"/>
    <col min="3" max="3" width="13" style="4" customWidth="1"/>
    <col min="4" max="4" width="13.25" style="4" customWidth="1"/>
    <col min="5" max="5" width="14.375" style="2" customWidth="1"/>
    <col min="6" max="6" width="11.5" style="4"/>
    <col min="7" max="7" width="8.125" style="4" customWidth="1"/>
    <col min="8" max="8" width="18.125" style="2" customWidth="1"/>
    <col min="9" max="9" width="13.12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9" t="s">
        <v>9</v>
      </c>
      <c r="H4" s="38" t="s">
        <v>10</v>
      </c>
      <c r="I4" s="38" t="s">
        <v>11</v>
      </c>
      <c r="J4" s="37" t="s">
        <v>12</v>
      </c>
    </row>
    <row r="5" spans="1:10" s="3" customFormat="1" ht="30" customHeight="1" x14ac:dyDescent="0.15">
      <c r="A5" s="7">
        <v>1</v>
      </c>
      <c r="B5" s="8">
        <v>4732</v>
      </c>
      <c r="C5" s="42" t="s">
        <v>1012</v>
      </c>
      <c r="D5" s="16" t="s">
        <v>1013</v>
      </c>
      <c r="E5" s="16" t="s">
        <v>1014</v>
      </c>
      <c r="F5" s="16" t="s">
        <v>1015</v>
      </c>
      <c r="G5" s="16" t="s">
        <v>16</v>
      </c>
      <c r="H5" s="40" t="s">
        <v>1016</v>
      </c>
      <c r="I5" s="10">
        <v>55</v>
      </c>
      <c r="J5" s="9"/>
    </row>
    <row r="6" spans="1:10" s="3" customFormat="1" ht="36" x14ac:dyDescent="0.15">
      <c r="A6" s="7">
        <v>2</v>
      </c>
      <c r="B6" s="8">
        <v>5321</v>
      </c>
      <c r="C6" s="42" t="s">
        <v>1017</v>
      </c>
      <c r="D6" s="43" t="s">
        <v>1018</v>
      </c>
      <c r="E6" s="17" t="s">
        <v>1019</v>
      </c>
      <c r="F6" s="17" t="s">
        <v>1020</v>
      </c>
      <c r="G6" s="16" t="s">
        <v>218</v>
      </c>
      <c r="H6" s="40" t="s">
        <v>1021</v>
      </c>
      <c r="I6" s="11">
        <v>910</v>
      </c>
      <c r="J6" s="9"/>
    </row>
    <row r="7" spans="1:10" s="3" customFormat="1" ht="13.5" x14ac:dyDescent="0.15">
      <c r="A7" s="7"/>
      <c r="B7" s="8"/>
      <c r="C7" s="9"/>
      <c r="D7" s="10"/>
      <c r="E7" s="9"/>
      <c r="F7" s="9"/>
      <c r="G7" s="10"/>
      <c r="H7" s="23"/>
      <c r="I7" s="11"/>
      <c r="J7" s="9"/>
    </row>
    <row r="8" spans="1:10" s="3" customFormat="1" ht="13.5" x14ac:dyDescent="0.15">
      <c r="A8" s="7"/>
      <c r="B8" s="8"/>
      <c r="C8" s="9"/>
      <c r="D8" s="10"/>
      <c r="E8" s="9"/>
      <c r="F8" s="9"/>
      <c r="G8" s="10"/>
      <c r="H8" s="23"/>
      <c r="I8" s="11"/>
      <c r="J8" s="9"/>
    </row>
    <row r="9" spans="1:10" s="3" customFormat="1" ht="22.5" customHeight="1" x14ac:dyDescent="0.15">
      <c r="A9" s="7"/>
      <c r="B9" s="8"/>
      <c r="C9" s="9"/>
      <c r="D9" s="11"/>
      <c r="E9" s="11"/>
      <c r="F9" s="11"/>
      <c r="G9" s="10"/>
      <c r="H9" s="12"/>
      <c r="I9" s="11"/>
      <c r="J9" s="9"/>
    </row>
    <row r="10" spans="1:10" s="3" customFormat="1" ht="22.5" customHeight="1" x14ac:dyDescent="0.15">
      <c r="A10" s="7"/>
      <c r="B10" s="14" t="s">
        <v>216</v>
      </c>
      <c r="C10" s="9" t="s">
        <v>217</v>
      </c>
      <c r="D10" s="11">
        <v>1</v>
      </c>
      <c r="E10" s="11">
        <f>COUNTIF(G:G,C10)</f>
        <v>0</v>
      </c>
      <c r="F10" s="11">
        <f t="shared" ref="F10:F18" si="0">D10+E10</f>
        <v>1</v>
      </c>
      <c r="G10" s="10"/>
      <c r="H10" s="12"/>
      <c r="I10" s="11"/>
      <c r="J10" s="9"/>
    </row>
    <row r="11" spans="1:10" ht="22.5" customHeight="1" x14ac:dyDescent="0.15">
      <c r="A11" s="6"/>
      <c r="B11" s="14" t="s">
        <v>216</v>
      </c>
      <c r="C11" s="9" t="s">
        <v>218</v>
      </c>
      <c r="D11" s="9">
        <v>972</v>
      </c>
      <c r="E11" s="11">
        <f>COUNTIF(G:G,C11)</f>
        <v>1</v>
      </c>
      <c r="F11" s="11">
        <f t="shared" si="0"/>
        <v>973</v>
      </c>
      <c r="G11" s="9"/>
      <c r="H11" s="9"/>
      <c r="I11" s="9"/>
      <c r="J11" s="16"/>
    </row>
    <row r="12" spans="1:10" ht="22.5" customHeight="1" x14ac:dyDescent="0.15">
      <c r="A12" s="6"/>
      <c r="B12" s="14" t="s">
        <v>216</v>
      </c>
      <c r="C12" s="8" t="s">
        <v>219</v>
      </c>
      <c r="D12" s="10">
        <v>406</v>
      </c>
      <c r="E12" s="11">
        <f>COUNTIF(G:G,C12)</f>
        <v>0</v>
      </c>
      <c r="F12" s="11">
        <f t="shared" si="0"/>
        <v>406</v>
      </c>
      <c r="G12" s="9"/>
      <c r="H12" s="9"/>
      <c r="I12" s="9"/>
      <c r="J12" s="16"/>
    </row>
    <row r="13" spans="1:10" ht="22.5" customHeight="1" x14ac:dyDescent="0.15">
      <c r="A13" s="6"/>
      <c r="B13" s="14" t="s">
        <v>216</v>
      </c>
      <c r="C13" s="8" t="s">
        <v>220</v>
      </c>
      <c r="D13" s="10">
        <v>83</v>
      </c>
      <c r="E13" s="11">
        <f>COUNTIF(G:G,"再就业")+COUNTIF(G:G,"小贷")</f>
        <v>0</v>
      </c>
      <c r="F13" s="11">
        <f t="shared" si="0"/>
        <v>83</v>
      </c>
      <c r="G13" s="10"/>
      <c r="H13" s="10"/>
      <c r="I13" s="11"/>
      <c r="J13" s="16"/>
    </row>
    <row r="14" spans="1:10" ht="22.5" customHeight="1" x14ac:dyDescent="0.15">
      <c r="A14" s="6"/>
      <c r="B14" s="14" t="s">
        <v>216</v>
      </c>
      <c r="C14" s="8" t="s">
        <v>221</v>
      </c>
      <c r="D14" s="10">
        <v>1</v>
      </c>
      <c r="E14" s="11">
        <f>COUNTIF(G:G,C14)</f>
        <v>0</v>
      </c>
      <c r="F14" s="11">
        <f t="shared" si="0"/>
        <v>1</v>
      </c>
      <c r="G14" s="10"/>
      <c r="H14" s="10"/>
      <c r="I14" s="11"/>
      <c r="J14" s="16"/>
    </row>
    <row r="15" spans="1:10" ht="22.5" customHeight="1" x14ac:dyDescent="0.15">
      <c r="A15" s="6"/>
      <c r="B15" s="14" t="s">
        <v>216</v>
      </c>
      <c r="C15" s="8" t="s">
        <v>16</v>
      </c>
      <c r="D15" s="10">
        <v>615</v>
      </c>
      <c r="E15" s="11">
        <f>COUNTIF(G:G,C15)</f>
        <v>1</v>
      </c>
      <c r="F15" s="11">
        <f t="shared" si="0"/>
        <v>616</v>
      </c>
      <c r="G15" s="10"/>
      <c r="H15" s="10"/>
      <c r="I15" s="11"/>
      <c r="J15" s="16"/>
    </row>
    <row r="16" spans="1:10" ht="22.5" customHeight="1" x14ac:dyDescent="0.15">
      <c r="A16" s="6"/>
      <c r="B16" s="14" t="s">
        <v>216</v>
      </c>
      <c r="C16" s="8" t="s">
        <v>49</v>
      </c>
      <c r="D16" s="10">
        <v>919</v>
      </c>
      <c r="E16" s="11">
        <f>COUNTIF(G:G,"*汽车*")</f>
        <v>0</v>
      </c>
      <c r="F16" s="11">
        <f t="shared" si="0"/>
        <v>919</v>
      </c>
      <c r="G16" s="10"/>
      <c r="H16" s="10"/>
      <c r="I16" s="11"/>
      <c r="J16" s="16"/>
    </row>
    <row r="17" spans="1:11" ht="22.5" customHeight="1" x14ac:dyDescent="0.15">
      <c r="A17" s="6"/>
      <c r="B17" s="14" t="s">
        <v>216</v>
      </c>
      <c r="C17" s="8" t="s">
        <v>21</v>
      </c>
      <c r="D17" s="10">
        <v>4491</v>
      </c>
      <c r="E17" s="11">
        <f>COUNTIF(G:G,C17)</f>
        <v>0</v>
      </c>
      <c r="F17" s="11">
        <f t="shared" si="0"/>
        <v>4491</v>
      </c>
      <c r="G17" s="10"/>
      <c r="H17" s="10"/>
      <c r="I17" s="11"/>
      <c r="J17" s="16"/>
    </row>
    <row r="18" spans="1:11" ht="22.5" customHeight="1" x14ac:dyDescent="0.15">
      <c r="A18" s="6"/>
      <c r="B18" s="14" t="s">
        <v>216</v>
      </c>
      <c r="C18" s="15" t="s">
        <v>222</v>
      </c>
      <c r="D18" s="16">
        <v>42</v>
      </c>
      <c r="E18" s="11">
        <f>COUNTIF(G:G,C18)</f>
        <v>0</v>
      </c>
      <c r="F18" s="11">
        <f t="shared" si="0"/>
        <v>42</v>
      </c>
      <c r="G18" s="16"/>
      <c r="H18" s="16"/>
      <c r="I18" s="14"/>
      <c r="J18" s="16"/>
    </row>
    <row r="19" spans="1:11" ht="22.5" customHeight="1" x14ac:dyDescent="0.15">
      <c r="A19" s="24"/>
      <c r="B19" s="24"/>
      <c r="C19" s="25"/>
      <c r="D19" s="26">
        <f t="shared" ref="D19:F19" si="1">SUM(D10:D18)</f>
        <v>7530</v>
      </c>
      <c r="E19" s="26">
        <f t="shared" si="1"/>
        <v>2</v>
      </c>
      <c r="F19" s="26">
        <f t="shared" si="1"/>
        <v>7532</v>
      </c>
      <c r="G19" s="19"/>
      <c r="H19" s="19"/>
      <c r="I19" s="18"/>
      <c r="J19" s="18"/>
    </row>
    <row r="20" spans="1:11" ht="39.950000000000003" customHeight="1" x14ac:dyDescent="0.15">
      <c r="A20" s="55" t="s">
        <v>223</v>
      </c>
      <c r="B20" s="55"/>
      <c r="C20" s="56"/>
      <c r="D20" s="55"/>
      <c r="E20" s="55"/>
      <c r="F20" s="57"/>
      <c r="G20" s="21"/>
      <c r="H20" s="22"/>
      <c r="I20" s="22"/>
      <c r="J20" s="22"/>
    </row>
    <row r="21" spans="1:11" ht="36.950000000000003" customHeight="1" x14ac:dyDescent="0.15">
      <c r="A21" s="58" t="s">
        <v>224</v>
      </c>
      <c r="B21" s="58"/>
      <c r="C21" s="27"/>
      <c r="D21" s="59" t="s">
        <v>225</v>
      </c>
      <c r="E21" s="57"/>
      <c r="F21" s="28"/>
      <c r="G21" s="21"/>
      <c r="H21" s="22"/>
      <c r="I21" s="22"/>
      <c r="J21" s="22"/>
    </row>
    <row r="22" spans="1:11" ht="36" customHeight="1" x14ac:dyDescent="0.15">
      <c r="A22" s="58" t="s">
        <v>226</v>
      </c>
      <c r="B22" s="58"/>
      <c r="C22" s="29"/>
      <c r="D22" s="59" t="s">
        <v>225</v>
      </c>
      <c r="E22" s="57"/>
      <c r="F22" s="30"/>
      <c r="G22" s="21"/>
      <c r="H22" s="22"/>
      <c r="I22" s="22"/>
      <c r="J22" s="22"/>
    </row>
    <row r="23" spans="1:11" ht="27" customHeight="1" x14ac:dyDescent="0.15">
      <c r="A23" s="58" t="s">
        <v>227</v>
      </c>
      <c r="B23" s="58"/>
      <c r="C23" s="29"/>
      <c r="D23" s="60" t="s">
        <v>225</v>
      </c>
      <c r="E23" s="61"/>
      <c r="F23" s="31"/>
      <c r="G23" s="32"/>
      <c r="H23" s="33"/>
      <c r="I23" s="33"/>
      <c r="J23" s="33"/>
    </row>
    <row r="24" spans="1:11" ht="30" customHeight="1" x14ac:dyDescent="0.15">
      <c r="A24" s="58" t="s">
        <v>227</v>
      </c>
      <c r="B24" s="58"/>
      <c r="C24" s="34"/>
      <c r="D24" s="60" t="s">
        <v>225</v>
      </c>
      <c r="E24" s="60"/>
      <c r="F24" s="6"/>
      <c r="G24" s="6"/>
      <c r="H24" s="5"/>
      <c r="I24" s="5"/>
      <c r="J24" s="35"/>
      <c r="K24" s="36"/>
    </row>
    <row r="25" spans="1:11" ht="22.5" customHeight="1" x14ac:dyDescent="0.15"/>
    <row r="59" spans="1:10" ht="13.5" x14ac:dyDescent="0.15">
      <c r="A59" s="62"/>
      <c r="B59" s="62"/>
      <c r="C59" s="63"/>
      <c r="D59" s="63"/>
      <c r="E59" s="63"/>
      <c r="F59" s="63"/>
      <c r="G59" s="63"/>
      <c r="H59" s="63"/>
      <c r="I59" s="63"/>
      <c r="J59" s="63"/>
    </row>
    <row r="60" spans="1:10" ht="13.5" x14ac:dyDescent="0.15">
      <c r="A60" s="62"/>
      <c r="B60" s="62"/>
      <c r="C60" s="63"/>
      <c r="D60" s="63"/>
      <c r="E60" s="63"/>
      <c r="F60" s="63"/>
      <c r="G60" s="63"/>
      <c r="H60" s="63"/>
      <c r="I60" s="63"/>
      <c r="J60" s="63"/>
    </row>
    <row r="61" spans="1:10" ht="13.5" x14ac:dyDescent="0.15">
      <c r="A61" s="62"/>
      <c r="B61" s="62"/>
      <c r="C61" s="63"/>
      <c r="D61" s="63"/>
      <c r="E61" s="63"/>
      <c r="F61" s="63"/>
      <c r="G61" s="63"/>
      <c r="H61" s="63"/>
      <c r="I61" s="63"/>
      <c r="J61" s="63"/>
    </row>
    <row r="62" spans="1:10" ht="13.5" x14ac:dyDescent="0.15">
      <c r="A62" s="62"/>
      <c r="B62" s="62"/>
      <c r="C62" s="63"/>
      <c r="D62" s="63"/>
      <c r="E62" s="63"/>
      <c r="F62" s="63"/>
      <c r="G62" s="63"/>
      <c r="H62" s="63"/>
      <c r="I62" s="63"/>
      <c r="J62" s="63"/>
    </row>
    <row r="63" spans="1:10" ht="13.5" x14ac:dyDescent="0.15">
      <c r="A63" s="62"/>
      <c r="B63" s="62"/>
      <c r="C63" s="63"/>
      <c r="D63" s="63"/>
      <c r="E63" s="63"/>
      <c r="F63" s="63"/>
      <c r="G63" s="63"/>
      <c r="H63" s="63"/>
      <c r="I63" s="63"/>
      <c r="J63" s="63"/>
    </row>
    <row r="64" spans="1:10" ht="13.5" x14ac:dyDescent="0.15">
      <c r="A64" s="62"/>
      <c r="B64" s="62"/>
      <c r="C64" s="63"/>
      <c r="D64" s="63"/>
      <c r="E64" s="63"/>
      <c r="F64" s="63"/>
      <c r="G64" s="63"/>
      <c r="H64" s="63"/>
      <c r="I64" s="63"/>
      <c r="J64" s="63"/>
    </row>
    <row r="65" spans="1:10" ht="13.5" x14ac:dyDescent="0.15">
      <c r="A65" s="62"/>
      <c r="B65" s="62"/>
      <c r="C65" s="63"/>
      <c r="D65" s="63"/>
      <c r="E65" s="63"/>
      <c r="F65" s="63"/>
      <c r="G65" s="63"/>
      <c r="H65" s="63"/>
      <c r="I65" s="63"/>
      <c r="J65" s="63"/>
    </row>
    <row r="66" spans="1:10" ht="13.5" x14ac:dyDescent="0.15">
      <c r="A66" s="62"/>
      <c r="B66" s="62"/>
      <c r="C66" s="63"/>
      <c r="D66" s="63"/>
      <c r="E66" s="63"/>
      <c r="F66" s="63"/>
      <c r="G66" s="63"/>
      <c r="H66" s="63"/>
      <c r="I66" s="63"/>
      <c r="J66" s="63"/>
    </row>
    <row r="67" spans="1:10" ht="13.5" x14ac:dyDescent="0.15">
      <c r="A67" s="62"/>
      <c r="B67" s="62"/>
      <c r="C67" s="63"/>
      <c r="D67" s="63"/>
      <c r="E67" s="62"/>
      <c r="F67" s="63"/>
      <c r="G67" s="63"/>
      <c r="H67" s="62"/>
      <c r="I67" s="62"/>
      <c r="J67" s="62"/>
    </row>
  </sheetData>
  <autoFilter ref="B4:I6" xr:uid="{00000000-0009-0000-0000-000005000000}"/>
  <mergeCells count="18">
    <mergeCell ref="A67:J67"/>
    <mergeCell ref="A59:B66"/>
    <mergeCell ref="C59:J60"/>
    <mergeCell ref="C61:J62"/>
    <mergeCell ref="C63:J64"/>
    <mergeCell ref="C65:J66"/>
    <mergeCell ref="A22:B22"/>
    <mergeCell ref="D22:E22"/>
    <mergeCell ref="A23:B23"/>
    <mergeCell ref="D23:E23"/>
    <mergeCell ref="A24:B24"/>
    <mergeCell ref="D24:E24"/>
    <mergeCell ref="A1:J1"/>
    <mergeCell ref="A2:J2"/>
    <mergeCell ref="A3:J3"/>
    <mergeCell ref="A20:F20"/>
    <mergeCell ref="A21:B21"/>
    <mergeCell ref="D21:E21"/>
  </mergeCells>
  <phoneticPr fontId="11" type="noConversion"/>
  <dataValidations count="1">
    <dataValidation type="list" allowBlank="1" showInputMessage="1" showErrorMessage="1" sqref="J11:J15 J16:J18" xr:uid="{00000000-0002-0000-0500-000000000000}">
      <formula1>$U$2:$U$3</formula1>
    </dataValidation>
  </dataValidations>
  <pageMargins left="0.70069444444444495" right="0.70069444444444495" top="0.75138888888888899" bottom="0.75138888888888899" header="0.29861111111111099" footer="0.29861111111111099"/>
  <pageSetup paperSize="9" scale="79" fitToHeight="0" orientation="portrait" r:id="rId1"/>
  <headerFooter>
    <oddFooter>&amp;C第 &amp;P 页，共 &amp;N 页</oddFooter>
  </headerFooter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pageSetUpPr fitToPage="1"/>
  </sheetPr>
  <dimension ref="A1:K172"/>
  <sheetViews>
    <sheetView view="pageBreakPreview" zoomScaleNormal="100" workbookViewId="0">
      <pane ySplit="4" topLeftCell="A80" activePane="bottomLeft" state="frozen"/>
      <selection pane="bottomLeft" activeCell="B107" sqref="B107"/>
    </sheetView>
  </sheetViews>
  <sheetFormatPr defaultColWidth="9" defaultRowHeight="23.25" customHeight="1" x14ac:dyDescent="0.15"/>
  <cols>
    <col min="1" max="1" width="5.875" style="2" customWidth="1"/>
    <col min="2" max="2" width="7.625" style="2" customWidth="1"/>
    <col min="3" max="3" width="13" style="4" customWidth="1"/>
    <col min="4" max="4" width="13.25" style="4" customWidth="1"/>
    <col min="5" max="5" width="14.375" style="2" customWidth="1"/>
    <col min="6" max="6" width="11.5" style="4"/>
    <col min="7" max="7" width="8.125" style="4" customWidth="1"/>
    <col min="8" max="8" width="18.125" style="2" customWidth="1"/>
    <col min="9" max="9" width="13.12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9" t="s">
        <v>9</v>
      </c>
      <c r="H4" s="38" t="s">
        <v>10</v>
      </c>
      <c r="I4" s="38" t="s">
        <v>11</v>
      </c>
      <c r="J4" s="37" t="s">
        <v>12</v>
      </c>
    </row>
    <row r="5" spans="1:10" s="3" customFormat="1" ht="30" customHeight="1" x14ac:dyDescent="0.15">
      <c r="A5" s="7">
        <v>1</v>
      </c>
      <c r="B5" s="8">
        <v>2050</v>
      </c>
      <c r="C5" s="42" t="s">
        <v>1022</v>
      </c>
      <c r="D5" s="43" t="s">
        <v>1023</v>
      </c>
      <c r="E5" s="16" t="s">
        <v>1024</v>
      </c>
      <c r="F5" s="16" t="s">
        <v>1024</v>
      </c>
      <c r="G5" s="16" t="s">
        <v>250</v>
      </c>
      <c r="H5" s="44" t="s">
        <v>1025</v>
      </c>
      <c r="I5" s="10">
        <v>6</v>
      </c>
      <c r="J5" s="9"/>
    </row>
    <row r="6" spans="1:10" s="3" customFormat="1" ht="30" customHeight="1" x14ac:dyDescent="0.15">
      <c r="A6" s="7">
        <v>2</v>
      </c>
      <c r="B6" s="8">
        <v>2051</v>
      </c>
      <c r="C6" s="42" t="s">
        <v>1026</v>
      </c>
      <c r="D6" s="16" t="s">
        <v>1027</v>
      </c>
      <c r="E6" s="17" t="s">
        <v>1028</v>
      </c>
      <c r="F6" s="17" t="s">
        <v>1028</v>
      </c>
      <c r="G6" s="16" t="s">
        <v>250</v>
      </c>
      <c r="H6" s="44" t="s">
        <v>1029</v>
      </c>
      <c r="I6" s="11">
        <v>19</v>
      </c>
      <c r="J6" s="9"/>
    </row>
    <row r="7" spans="1:10" s="3" customFormat="1" ht="30" customHeight="1" x14ac:dyDescent="0.15">
      <c r="A7" s="7">
        <v>3</v>
      </c>
      <c r="B7" s="8">
        <v>2052</v>
      </c>
      <c r="C7" s="42" t="s">
        <v>1030</v>
      </c>
      <c r="D7" s="16" t="s">
        <v>1031</v>
      </c>
      <c r="E7" s="17" t="s">
        <v>1032</v>
      </c>
      <c r="F7" s="17" t="s">
        <v>1032</v>
      </c>
      <c r="G7" s="16" t="s">
        <v>250</v>
      </c>
      <c r="H7" s="44" t="s">
        <v>1033</v>
      </c>
      <c r="I7" s="11">
        <v>20</v>
      </c>
      <c r="J7" s="9"/>
    </row>
    <row r="8" spans="1:10" s="3" customFormat="1" ht="30" customHeight="1" x14ac:dyDescent="0.15">
      <c r="A8" s="7">
        <v>4</v>
      </c>
      <c r="B8" s="8">
        <v>2053</v>
      </c>
      <c r="C8" s="42" t="s">
        <v>1034</v>
      </c>
      <c r="D8" s="16" t="s">
        <v>1035</v>
      </c>
      <c r="E8" s="17" t="s">
        <v>1036</v>
      </c>
      <c r="F8" s="17" t="s">
        <v>1036</v>
      </c>
      <c r="G8" s="16" t="s">
        <v>250</v>
      </c>
      <c r="H8" s="44" t="s">
        <v>1037</v>
      </c>
      <c r="I8" s="11">
        <v>19</v>
      </c>
      <c r="J8" s="9"/>
    </row>
    <row r="9" spans="1:10" s="3" customFormat="1" ht="30" customHeight="1" x14ac:dyDescent="0.15">
      <c r="A9" s="7">
        <v>5</v>
      </c>
      <c r="B9" s="8">
        <v>2054</v>
      </c>
      <c r="C9" s="42" t="s">
        <v>1038</v>
      </c>
      <c r="D9" s="16" t="s">
        <v>1039</v>
      </c>
      <c r="E9" s="17" t="s">
        <v>1040</v>
      </c>
      <c r="F9" s="17" t="s">
        <v>1040</v>
      </c>
      <c r="G9" s="16" t="s">
        <v>250</v>
      </c>
      <c r="H9" s="44" t="s">
        <v>1041</v>
      </c>
      <c r="I9" s="11">
        <v>23.7</v>
      </c>
      <c r="J9" s="9"/>
    </row>
    <row r="10" spans="1:10" s="3" customFormat="1" ht="30" customHeight="1" x14ac:dyDescent="0.15">
      <c r="A10" s="7">
        <v>6</v>
      </c>
      <c r="B10" s="8">
        <v>2055</v>
      </c>
      <c r="C10" s="42" t="s">
        <v>1042</v>
      </c>
      <c r="D10" s="16" t="s">
        <v>1043</v>
      </c>
      <c r="E10" s="16" t="s">
        <v>1044</v>
      </c>
      <c r="F10" s="16" t="s">
        <v>1044</v>
      </c>
      <c r="G10" s="16" t="s">
        <v>250</v>
      </c>
      <c r="H10" s="44" t="s">
        <v>1045</v>
      </c>
      <c r="I10" s="11">
        <v>7.3</v>
      </c>
      <c r="J10" s="9"/>
    </row>
    <row r="11" spans="1:10" s="3" customFormat="1" ht="24" x14ac:dyDescent="0.15">
      <c r="A11" s="7">
        <v>7</v>
      </c>
      <c r="B11" s="8">
        <v>2056</v>
      </c>
      <c r="C11" s="42" t="s">
        <v>1046</v>
      </c>
      <c r="D11" s="16" t="s">
        <v>1047</v>
      </c>
      <c r="E11" s="17" t="s">
        <v>1048</v>
      </c>
      <c r="F11" s="17" t="s">
        <v>1048</v>
      </c>
      <c r="G11" s="16" t="s">
        <v>250</v>
      </c>
      <c r="H11" s="44" t="s">
        <v>1049</v>
      </c>
      <c r="I11" s="11">
        <v>25</v>
      </c>
      <c r="J11" s="9"/>
    </row>
    <row r="12" spans="1:10" s="3" customFormat="1" ht="24" x14ac:dyDescent="0.15">
      <c r="A12" s="7">
        <v>8</v>
      </c>
      <c r="B12" s="8">
        <v>2057</v>
      </c>
      <c r="C12" s="42" t="s">
        <v>1050</v>
      </c>
      <c r="D12" s="43" t="s">
        <v>1051</v>
      </c>
      <c r="E12" s="17" t="s">
        <v>1052</v>
      </c>
      <c r="F12" s="17" t="s">
        <v>1052</v>
      </c>
      <c r="G12" s="16" t="s">
        <v>250</v>
      </c>
      <c r="H12" s="44" t="s">
        <v>1053</v>
      </c>
      <c r="I12" s="11">
        <v>21.44</v>
      </c>
      <c r="J12" s="9"/>
    </row>
    <row r="13" spans="1:10" s="3" customFormat="1" ht="24" x14ac:dyDescent="0.15">
      <c r="A13" s="7">
        <v>9</v>
      </c>
      <c r="B13" s="8">
        <v>2058</v>
      </c>
      <c r="C13" s="42" t="s">
        <v>1054</v>
      </c>
      <c r="D13" s="43" t="s">
        <v>1055</v>
      </c>
      <c r="E13" s="17" t="s">
        <v>1056</v>
      </c>
      <c r="F13" s="17" t="s">
        <v>1056</v>
      </c>
      <c r="G13" s="16" t="s">
        <v>250</v>
      </c>
      <c r="H13" s="44" t="s">
        <v>1057</v>
      </c>
      <c r="I13" s="11">
        <v>8</v>
      </c>
      <c r="J13" s="9"/>
    </row>
    <row r="14" spans="1:10" s="3" customFormat="1" ht="24" x14ac:dyDescent="0.15">
      <c r="A14" s="7">
        <v>10</v>
      </c>
      <c r="B14" s="8">
        <v>2059</v>
      </c>
      <c r="C14" s="42" t="s">
        <v>1058</v>
      </c>
      <c r="D14" s="16" t="s">
        <v>1059</v>
      </c>
      <c r="E14" s="17" t="s">
        <v>1060</v>
      </c>
      <c r="F14" s="17" t="s">
        <v>1060</v>
      </c>
      <c r="G14" s="16" t="s">
        <v>250</v>
      </c>
      <c r="H14" s="44" t="s">
        <v>1061</v>
      </c>
      <c r="I14" s="11">
        <v>27.44</v>
      </c>
      <c r="J14" s="9"/>
    </row>
    <row r="15" spans="1:10" s="3" customFormat="1" ht="24" x14ac:dyDescent="0.15">
      <c r="A15" s="7">
        <v>11</v>
      </c>
      <c r="B15" s="8">
        <v>2060</v>
      </c>
      <c r="C15" s="42" t="s">
        <v>1062</v>
      </c>
      <c r="D15" s="16" t="s">
        <v>1063</v>
      </c>
      <c r="E15" s="17" t="s">
        <v>1064</v>
      </c>
      <c r="F15" s="17" t="s">
        <v>1064</v>
      </c>
      <c r="G15" s="16" t="s">
        <v>250</v>
      </c>
      <c r="H15" s="44" t="s">
        <v>1065</v>
      </c>
      <c r="I15" s="11">
        <v>29.3</v>
      </c>
      <c r="J15" s="9"/>
    </row>
    <row r="16" spans="1:10" s="3" customFormat="1" ht="36" x14ac:dyDescent="0.15">
      <c r="A16" s="7">
        <v>12</v>
      </c>
      <c r="B16" s="8">
        <v>2061</v>
      </c>
      <c r="C16" s="42" t="s">
        <v>1066</v>
      </c>
      <c r="D16" s="16" t="s">
        <v>1067</v>
      </c>
      <c r="E16" s="17" t="s">
        <v>1068</v>
      </c>
      <c r="F16" s="17" t="s">
        <v>1069</v>
      </c>
      <c r="G16" s="16" t="s">
        <v>250</v>
      </c>
      <c r="H16" s="44" t="s">
        <v>1070</v>
      </c>
      <c r="I16" s="11">
        <v>27</v>
      </c>
      <c r="J16" s="9"/>
    </row>
    <row r="17" spans="1:10" s="3" customFormat="1" ht="24" x14ac:dyDescent="0.15">
      <c r="A17" s="7">
        <v>13</v>
      </c>
      <c r="B17" s="8">
        <v>2062</v>
      </c>
      <c r="C17" s="42" t="s">
        <v>1071</v>
      </c>
      <c r="D17" s="16" t="s">
        <v>1072</v>
      </c>
      <c r="E17" s="17" t="s">
        <v>1073</v>
      </c>
      <c r="F17" s="17" t="s">
        <v>1074</v>
      </c>
      <c r="G17" s="16" t="s">
        <v>250</v>
      </c>
      <c r="H17" s="44" t="s">
        <v>1075</v>
      </c>
      <c r="I17" s="11">
        <v>24</v>
      </c>
      <c r="J17" s="9"/>
    </row>
    <row r="18" spans="1:10" s="3" customFormat="1" ht="24" x14ac:dyDescent="0.15">
      <c r="A18" s="7">
        <v>14</v>
      </c>
      <c r="B18" s="8">
        <v>2063</v>
      </c>
      <c r="C18" s="42" t="s">
        <v>1076</v>
      </c>
      <c r="D18" s="16" t="s">
        <v>1077</v>
      </c>
      <c r="E18" s="17" t="s">
        <v>1078</v>
      </c>
      <c r="F18" s="17" t="s">
        <v>1078</v>
      </c>
      <c r="G18" s="16" t="s">
        <v>250</v>
      </c>
      <c r="H18" s="44" t="s">
        <v>1079</v>
      </c>
      <c r="I18" s="11">
        <v>21.7</v>
      </c>
      <c r="J18" s="9"/>
    </row>
    <row r="19" spans="1:10" s="3" customFormat="1" ht="24" x14ac:dyDescent="0.15">
      <c r="A19" s="7">
        <v>15</v>
      </c>
      <c r="B19" s="8">
        <v>2064</v>
      </c>
      <c r="C19" s="42" t="s">
        <v>1080</v>
      </c>
      <c r="D19" s="16" t="s">
        <v>1081</v>
      </c>
      <c r="E19" s="17" t="s">
        <v>1082</v>
      </c>
      <c r="F19" s="17" t="s">
        <v>1082</v>
      </c>
      <c r="G19" s="16" t="s">
        <v>250</v>
      </c>
      <c r="H19" s="44" t="s">
        <v>1083</v>
      </c>
      <c r="I19" s="11">
        <v>11.5</v>
      </c>
      <c r="J19" s="9"/>
    </row>
    <row r="20" spans="1:10" s="3" customFormat="1" ht="24" x14ac:dyDescent="0.15">
      <c r="A20" s="7">
        <v>16</v>
      </c>
      <c r="B20" s="8">
        <v>2065</v>
      </c>
      <c r="C20" s="42" t="s">
        <v>1084</v>
      </c>
      <c r="D20" s="16" t="s">
        <v>1085</v>
      </c>
      <c r="E20" s="17" t="s">
        <v>1086</v>
      </c>
      <c r="F20" s="17" t="s">
        <v>1086</v>
      </c>
      <c r="G20" s="16" t="s">
        <v>250</v>
      </c>
      <c r="H20" s="44" t="s">
        <v>1087</v>
      </c>
      <c r="I20" s="11">
        <v>5</v>
      </c>
      <c r="J20" s="9"/>
    </row>
    <row r="21" spans="1:10" s="3" customFormat="1" ht="24" x14ac:dyDescent="0.15">
      <c r="A21" s="7">
        <v>17</v>
      </c>
      <c r="B21" s="8">
        <v>2066</v>
      </c>
      <c r="C21" s="42" t="s">
        <v>1088</v>
      </c>
      <c r="D21" s="16" t="s">
        <v>1089</v>
      </c>
      <c r="E21" s="17" t="s">
        <v>1090</v>
      </c>
      <c r="F21" s="17" t="s">
        <v>1090</v>
      </c>
      <c r="G21" s="16" t="s">
        <v>250</v>
      </c>
      <c r="H21" s="44" t="s">
        <v>1091</v>
      </c>
      <c r="I21" s="11">
        <v>20</v>
      </c>
      <c r="J21" s="9"/>
    </row>
    <row r="22" spans="1:10" s="3" customFormat="1" ht="24" x14ac:dyDescent="0.15">
      <c r="A22" s="7">
        <v>18</v>
      </c>
      <c r="B22" s="8">
        <v>2067</v>
      </c>
      <c r="C22" s="42" t="s">
        <v>1092</v>
      </c>
      <c r="D22" s="16" t="s">
        <v>1093</v>
      </c>
      <c r="E22" s="17" t="s">
        <v>1094</v>
      </c>
      <c r="F22" s="17" t="s">
        <v>1094</v>
      </c>
      <c r="G22" s="16" t="s">
        <v>250</v>
      </c>
      <c r="H22" s="44" t="s">
        <v>1095</v>
      </c>
      <c r="I22" s="11">
        <v>6</v>
      </c>
      <c r="J22" s="9"/>
    </row>
    <row r="23" spans="1:10" s="3" customFormat="1" ht="24" x14ac:dyDescent="0.15">
      <c r="A23" s="7">
        <v>19</v>
      </c>
      <c r="B23" s="8">
        <v>2068</v>
      </c>
      <c r="C23" s="42" t="s">
        <v>1096</v>
      </c>
      <c r="D23" s="16" t="s">
        <v>1097</v>
      </c>
      <c r="E23" s="17" t="s">
        <v>1098</v>
      </c>
      <c r="F23" s="17" t="s">
        <v>1098</v>
      </c>
      <c r="G23" s="16" t="s">
        <v>250</v>
      </c>
      <c r="H23" s="44" t="s">
        <v>1099</v>
      </c>
      <c r="I23" s="11">
        <v>28</v>
      </c>
      <c r="J23" s="9"/>
    </row>
    <row r="24" spans="1:10" s="3" customFormat="1" ht="24" x14ac:dyDescent="0.15">
      <c r="A24" s="7">
        <v>20</v>
      </c>
      <c r="B24" s="8">
        <v>2069</v>
      </c>
      <c r="C24" s="42" t="s">
        <v>1100</v>
      </c>
      <c r="D24" s="16" t="s">
        <v>1101</v>
      </c>
      <c r="E24" s="17" t="s">
        <v>1102</v>
      </c>
      <c r="F24" s="17" t="s">
        <v>1102</v>
      </c>
      <c r="G24" s="16" t="s">
        <v>250</v>
      </c>
      <c r="H24" s="44" t="s">
        <v>1103</v>
      </c>
      <c r="I24" s="11">
        <v>10</v>
      </c>
      <c r="J24" s="9"/>
    </row>
    <row r="25" spans="1:10" s="3" customFormat="1" ht="24" x14ac:dyDescent="0.15">
      <c r="A25" s="7">
        <v>21</v>
      </c>
      <c r="B25" s="8">
        <v>2070</v>
      </c>
      <c r="C25" s="42" t="s">
        <v>1104</v>
      </c>
      <c r="D25" s="16" t="s">
        <v>1105</v>
      </c>
      <c r="E25" s="17" t="s">
        <v>1106</v>
      </c>
      <c r="F25" s="17" t="s">
        <v>1106</v>
      </c>
      <c r="G25" s="16" t="s">
        <v>250</v>
      </c>
      <c r="H25" s="44" t="s">
        <v>1107</v>
      </c>
      <c r="I25" s="11">
        <v>20</v>
      </c>
      <c r="J25" s="9"/>
    </row>
    <row r="26" spans="1:10" s="3" customFormat="1" ht="24" x14ac:dyDescent="0.15">
      <c r="A26" s="7">
        <v>22</v>
      </c>
      <c r="B26" s="8">
        <v>2071</v>
      </c>
      <c r="C26" s="42" t="s">
        <v>1108</v>
      </c>
      <c r="D26" s="16" t="s">
        <v>1109</v>
      </c>
      <c r="E26" s="17" t="s">
        <v>1110</v>
      </c>
      <c r="F26" s="17" t="s">
        <v>1110</v>
      </c>
      <c r="G26" s="16" t="s">
        <v>250</v>
      </c>
      <c r="H26" s="44" t="s">
        <v>1111</v>
      </c>
      <c r="I26" s="11">
        <v>13.3</v>
      </c>
      <c r="J26" s="9"/>
    </row>
    <row r="27" spans="1:10" s="3" customFormat="1" ht="24" x14ac:dyDescent="0.15">
      <c r="A27" s="7">
        <v>23</v>
      </c>
      <c r="B27" s="8">
        <v>2072</v>
      </c>
      <c r="C27" s="42" t="s">
        <v>1112</v>
      </c>
      <c r="D27" s="16" t="s">
        <v>1113</v>
      </c>
      <c r="E27" s="17" t="s">
        <v>1114</v>
      </c>
      <c r="F27" s="17" t="s">
        <v>1114</v>
      </c>
      <c r="G27" s="16" t="s">
        <v>250</v>
      </c>
      <c r="H27" s="44" t="s">
        <v>1115</v>
      </c>
      <c r="I27" s="11">
        <v>27</v>
      </c>
      <c r="J27" s="9"/>
    </row>
    <row r="28" spans="1:10" s="3" customFormat="1" ht="24" x14ac:dyDescent="0.15">
      <c r="A28" s="7">
        <v>24</v>
      </c>
      <c r="B28" s="8">
        <v>2073</v>
      </c>
      <c r="C28" s="42" t="s">
        <v>1116</v>
      </c>
      <c r="D28" s="16" t="s">
        <v>1117</v>
      </c>
      <c r="E28" s="17" t="s">
        <v>1118</v>
      </c>
      <c r="F28" s="17" t="s">
        <v>1118</v>
      </c>
      <c r="G28" s="16" t="s">
        <v>250</v>
      </c>
      <c r="H28" s="44" t="s">
        <v>1119</v>
      </c>
      <c r="I28" s="11">
        <v>7.1</v>
      </c>
      <c r="J28" s="9"/>
    </row>
    <row r="29" spans="1:10" s="3" customFormat="1" ht="24" x14ac:dyDescent="0.15">
      <c r="A29" s="7">
        <v>25</v>
      </c>
      <c r="B29" s="8">
        <v>2074</v>
      </c>
      <c r="C29" s="42" t="s">
        <v>1120</v>
      </c>
      <c r="D29" s="16" t="s">
        <v>1121</v>
      </c>
      <c r="E29" s="17" t="s">
        <v>1122</v>
      </c>
      <c r="F29" s="17" t="s">
        <v>1122</v>
      </c>
      <c r="G29" s="16" t="s">
        <v>250</v>
      </c>
      <c r="H29" s="44" t="s">
        <v>1123</v>
      </c>
      <c r="I29" s="11">
        <v>18.8</v>
      </c>
      <c r="J29" s="9"/>
    </row>
    <row r="30" spans="1:10" s="3" customFormat="1" ht="24" x14ac:dyDescent="0.15">
      <c r="A30" s="7">
        <v>26</v>
      </c>
      <c r="B30" s="8">
        <v>2075</v>
      </c>
      <c r="C30" s="42" t="s">
        <v>1124</v>
      </c>
      <c r="D30" s="16" t="s">
        <v>1125</v>
      </c>
      <c r="E30" s="17" t="s">
        <v>1126</v>
      </c>
      <c r="F30" s="17" t="s">
        <v>1126</v>
      </c>
      <c r="G30" s="16" t="s">
        <v>250</v>
      </c>
      <c r="H30" s="44" t="s">
        <v>1127</v>
      </c>
      <c r="I30" s="11">
        <v>10</v>
      </c>
      <c r="J30" s="9"/>
    </row>
    <row r="31" spans="1:10" s="3" customFormat="1" ht="24" x14ac:dyDescent="0.15">
      <c r="A31" s="7">
        <v>27</v>
      </c>
      <c r="B31" s="8">
        <v>2076</v>
      </c>
      <c r="C31" s="42" t="s">
        <v>1128</v>
      </c>
      <c r="D31" s="16" t="s">
        <v>1129</v>
      </c>
      <c r="E31" s="17" t="s">
        <v>1130</v>
      </c>
      <c r="F31" s="17" t="s">
        <v>1130</v>
      </c>
      <c r="G31" s="16" t="s">
        <v>250</v>
      </c>
      <c r="H31" s="44" t="s">
        <v>1131</v>
      </c>
      <c r="I31" s="11">
        <v>6.8</v>
      </c>
      <c r="J31" s="9"/>
    </row>
    <row r="32" spans="1:10" s="3" customFormat="1" ht="24" x14ac:dyDescent="0.15">
      <c r="A32" s="7">
        <v>28</v>
      </c>
      <c r="B32" s="8">
        <v>2077</v>
      </c>
      <c r="C32" s="42" t="s">
        <v>1132</v>
      </c>
      <c r="D32" s="16" t="s">
        <v>1133</v>
      </c>
      <c r="E32" s="17" t="s">
        <v>1134</v>
      </c>
      <c r="F32" s="17" t="s">
        <v>1134</v>
      </c>
      <c r="G32" s="16" t="s">
        <v>250</v>
      </c>
      <c r="H32" s="44" t="s">
        <v>1135</v>
      </c>
      <c r="I32" s="11">
        <v>8.6</v>
      </c>
      <c r="J32" s="9"/>
    </row>
    <row r="33" spans="1:10" s="3" customFormat="1" ht="24" x14ac:dyDescent="0.15">
      <c r="A33" s="7">
        <v>29</v>
      </c>
      <c r="B33" s="8">
        <v>2078</v>
      </c>
      <c r="C33" s="42" t="s">
        <v>1136</v>
      </c>
      <c r="D33" s="16" t="s">
        <v>1137</v>
      </c>
      <c r="E33" s="17" t="s">
        <v>1138</v>
      </c>
      <c r="F33" s="17" t="s">
        <v>1138</v>
      </c>
      <c r="G33" s="16" t="s">
        <v>250</v>
      </c>
      <c r="H33" s="44" t="s">
        <v>1139</v>
      </c>
      <c r="I33" s="11">
        <v>19</v>
      </c>
      <c r="J33" s="9"/>
    </row>
    <row r="34" spans="1:10" s="3" customFormat="1" ht="24" x14ac:dyDescent="0.15">
      <c r="A34" s="7">
        <v>30</v>
      </c>
      <c r="B34" s="8">
        <v>2079</v>
      </c>
      <c r="C34" s="42" t="s">
        <v>1140</v>
      </c>
      <c r="D34" s="43" t="s">
        <v>1141</v>
      </c>
      <c r="E34" s="17" t="s">
        <v>1142</v>
      </c>
      <c r="F34" s="17" t="s">
        <v>1142</v>
      </c>
      <c r="G34" s="16" t="s">
        <v>250</v>
      </c>
      <c r="H34" s="44" t="s">
        <v>1143</v>
      </c>
      <c r="I34" s="11">
        <v>10</v>
      </c>
      <c r="J34" s="9"/>
    </row>
    <row r="35" spans="1:10" s="3" customFormat="1" ht="24" x14ac:dyDescent="0.15">
      <c r="A35" s="7">
        <v>31</v>
      </c>
      <c r="B35" s="8">
        <v>2080</v>
      </c>
      <c r="C35" s="42" t="s">
        <v>1144</v>
      </c>
      <c r="D35" s="16" t="s">
        <v>1145</v>
      </c>
      <c r="E35" s="17" t="s">
        <v>1146</v>
      </c>
      <c r="F35" s="17" t="s">
        <v>1146</v>
      </c>
      <c r="G35" s="16" t="s">
        <v>250</v>
      </c>
      <c r="H35" s="44" t="s">
        <v>1147</v>
      </c>
      <c r="I35" s="11">
        <v>5</v>
      </c>
      <c r="J35" s="9"/>
    </row>
    <row r="36" spans="1:10" s="3" customFormat="1" ht="24" x14ac:dyDescent="0.15">
      <c r="A36" s="7">
        <v>32</v>
      </c>
      <c r="B36" s="8">
        <v>2081</v>
      </c>
      <c r="C36" s="42" t="s">
        <v>1148</v>
      </c>
      <c r="D36" s="16" t="s">
        <v>1149</v>
      </c>
      <c r="E36" s="17" t="s">
        <v>1150</v>
      </c>
      <c r="F36" s="17" t="s">
        <v>1150</v>
      </c>
      <c r="G36" s="16" t="s">
        <v>250</v>
      </c>
      <c r="H36" s="44" t="s">
        <v>1151</v>
      </c>
      <c r="I36" s="11">
        <v>7</v>
      </c>
      <c r="J36" s="9"/>
    </row>
    <row r="37" spans="1:10" s="3" customFormat="1" ht="24" x14ac:dyDescent="0.15">
      <c r="A37" s="7">
        <v>33</v>
      </c>
      <c r="B37" s="8">
        <v>2082</v>
      </c>
      <c r="C37" s="42" t="s">
        <v>1152</v>
      </c>
      <c r="D37" s="16" t="s">
        <v>1153</v>
      </c>
      <c r="E37" s="17" t="s">
        <v>1154</v>
      </c>
      <c r="F37" s="17" t="s">
        <v>1154</v>
      </c>
      <c r="G37" s="16" t="s">
        <v>250</v>
      </c>
      <c r="H37" s="44" t="s">
        <v>1155</v>
      </c>
      <c r="I37" s="11">
        <v>9.8000000000000007</v>
      </c>
      <c r="J37" s="9"/>
    </row>
    <row r="38" spans="1:10" s="3" customFormat="1" ht="24" x14ac:dyDescent="0.15">
      <c r="A38" s="7">
        <v>34</v>
      </c>
      <c r="B38" s="8">
        <v>2083</v>
      </c>
      <c r="C38" s="42" t="s">
        <v>1156</v>
      </c>
      <c r="D38" s="16" t="s">
        <v>1157</v>
      </c>
      <c r="E38" s="17" t="s">
        <v>1158</v>
      </c>
      <c r="F38" s="17" t="s">
        <v>1158</v>
      </c>
      <c r="G38" s="16" t="s">
        <v>250</v>
      </c>
      <c r="H38" s="44" t="s">
        <v>1159</v>
      </c>
      <c r="I38" s="11">
        <v>5</v>
      </c>
      <c r="J38" s="9"/>
    </row>
    <row r="39" spans="1:10" s="3" customFormat="1" ht="24" x14ac:dyDescent="0.15">
      <c r="A39" s="7">
        <v>35</v>
      </c>
      <c r="B39" s="8">
        <v>2084</v>
      </c>
      <c r="C39" s="42" t="s">
        <v>1160</v>
      </c>
      <c r="D39" s="16" t="s">
        <v>1161</v>
      </c>
      <c r="E39" s="17" t="s">
        <v>1162</v>
      </c>
      <c r="F39" s="17" t="s">
        <v>1162</v>
      </c>
      <c r="G39" s="16" t="s">
        <v>250</v>
      </c>
      <c r="H39" s="44" t="s">
        <v>1163</v>
      </c>
      <c r="I39" s="11">
        <v>10</v>
      </c>
      <c r="J39" s="9"/>
    </row>
    <row r="40" spans="1:10" s="3" customFormat="1" ht="24" x14ac:dyDescent="0.15">
      <c r="A40" s="7">
        <v>36</v>
      </c>
      <c r="B40" s="8">
        <v>2085</v>
      </c>
      <c r="C40" s="42" t="s">
        <v>1164</v>
      </c>
      <c r="D40" s="16" t="s">
        <v>1165</v>
      </c>
      <c r="E40" s="17" t="s">
        <v>1166</v>
      </c>
      <c r="F40" s="17" t="s">
        <v>1166</v>
      </c>
      <c r="G40" s="16" t="s">
        <v>250</v>
      </c>
      <c r="H40" s="44" t="s">
        <v>1167</v>
      </c>
      <c r="I40" s="11">
        <v>12</v>
      </c>
      <c r="J40" s="9"/>
    </row>
    <row r="41" spans="1:10" s="3" customFormat="1" ht="24" x14ac:dyDescent="0.15">
      <c r="A41" s="7">
        <v>37</v>
      </c>
      <c r="B41" s="8">
        <v>2086</v>
      </c>
      <c r="C41" s="42" t="s">
        <v>1168</v>
      </c>
      <c r="D41" s="43" t="s">
        <v>1169</v>
      </c>
      <c r="E41" s="17" t="s">
        <v>1170</v>
      </c>
      <c r="F41" s="17" t="s">
        <v>1170</v>
      </c>
      <c r="G41" s="16" t="s">
        <v>250</v>
      </c>
      <c r="H41" s="44" t="s">
        <v>1171</v>
      </c>
      <c r="I41" s="11">
        <v>8</v>
      </c>
      <c r="J41" s="9"/>
    </row>
    <row r="42" spans="1:10" s="3" customFormat="1" ht="24" x14ac:dyDescent="0.15">
      <c r="A42" s="7">
        <v>38</v>
      </c>
      <c r="B42" s="8">
        <v>2087</v>
      </c>
      <c r="C42" s="42" t="s">
        <v>1172</v>
      </c>
      <c r="D42" s="16" t="s">
        <v>1173</v>
      </c>
      <c r="E42" s="17" t="s">
        <v>1174</v>
      </c>
      <c r="F42" s="17" t="s">
        <v>1174</v>
      </c>
      <c r="G42" s="16" t="s">
        <v>250</v>
      </c>
      <c r="H42" s="44" t="s">
        <v>1175</v>
      </c>
      <c r="I42" s="11">
        <v>10</v>
      </c>
      <c r="J42" s="9"/>
    </row>
    <row r="43" spans="1:10" s="3" customFormat="1" ht="24" x14ac:dyDescent="0.15">
      <c r="A43" s="7">
        <v>39</v>
      </c>
      <c r="B43" s="8">
        <v>2088</v>
      </c>
      <c r="C43" s="42" t="s">
        <v>1176</v>
      </c>
      <c r="D43" s="16" t="s">
        <v>1177</v>
      </c>
      <c r="E43" s="17" t="s">
        <v>1178</v>
      </c>
      <c r="F43" s="17" t="s">
        <v>1178</v>
      </c>
      <c r="G43" s="16" t="s">
        <v>250</v>
      </c>
      <c r="H43" s="44" t="s">
        <v>1179</v>
      </c>
      <c r="I43" s="11">
        <v>26.64</v>
      </c>
      <c r="J43" s="9"/>
    </row>
    <row r="44" spans="1:10" s="3" customFormat="1" ht="24" x14ac:dyDescent="0.15">
      <c r="A44" s="7">
        <v>40</v>
      </c>
      <c r="B44" s="8">
        <v>2089</v>
      </c>
      <c r="C44" s="42" t="s">
        <v>1180</v>
      </c>
      <c r="D44" s="16" t="s">
        <v>1181</v>
      </c>
      <c r="E44" s="17" t="s">
        <v>1182</v>
      </c>
      <c r="F44" s="17" t="s">
        <v>1182</v>
      </c>
      <c r="G44" s="16" t="s">
        <v>250</v>
      </c>
      <c r="H44" s="44" t="s">
        <v>1183</v>
      </c>
      <c r="I44" s="11">
        <v>9.6999999999999993</v>
      </c>
      <c r="J44" s="9"/>
    </row>
    <row r="45" spans="1:10" s="3" customFormat="1" ht="24" x14ac:dyDescent="0.15">
      <c r="A45" s="7">
        <v>41</v>
      </c>
      <c r="B45" s="8">
        <v>2090</v>
      </c>
      <c r="C45" s="42" t="s">
        <v>1184</v>
      </c>
      <c r="D45" s="16" t="s">
        <v>1185</v>
      </c>
      <c r="E45" s="17" t="s">
        <v>1186</v>
      </c>
      <c r="F45" s="17" t="s">
        <v>1186</v>
      </c>
      <c r="G45" s="16" t="s">
        <v>250</v>
      </c>
      <c r="H45" s="44" t="s">
        <v>1187</v>
      </c>
      <c r="I45" s="11">
        <v>66</v>
      </c>
      <c r="J45" s="9"/>
    </row>
    <row r="46" spans="1:10" s="3" customFormat="1" ht="24" x14ac:dyDescent="0.15">
      <c r="A46" s="7">
        <v>42</v>
      </c>
      <c r="B46" s="8">
        <v>2091</v>
      </c>
      <c r="C46" s="42" t="s">
        <v>1188</v>
      </c>
      <c r="D46" s="16" t="s">
        <v>1189</v>
      </c>
      <c r="E46" s="17" t="s">
        <v>1190</v>
      </c>
      <c r="F46" s="17" t="s">
        <v>1190</v>
      </c>
      <c r="G46" s="16" t="s">
        <v>250</v>
      </c>
      <c r="H46" s="44" t="s">
        <v>1191</v>
      </c>
      <c r="I46" s="11">
        <v>13.2</v>
      </c>
      <c r="J46" s="9"/>
    </row>
    <row r="47" spans="1:10" s="3" customFormat="1" ht="24" x14ac:dyDescent="0.15">
      <c r="A47" s="7">
        <v>43</v>
      </c>
      <c r="B47" s="8">
        <v>2092</v>
      </c>
      <c r="C47" s="42" t="s">
        <v>1192</v>
      </c>
      <c r="D47" s="16" t="s">
        <v>1193</v>
      </c>
      <c r="E47" s="17" t="s">
        <v>1194</v>
      </c>
      <c r="F47" s="17" t="s">
        <v>1194</v>
      </c>
      <c r="G47" s="16" t="s">
        <v>250</v>
      </c>
      <c r="H47" s="44" t="s">
        <v>1195</v>
      </c>
      <c r="I47" s="11">
        <v>20</v>
      </c>
      <c r="J47" s="9"/>
    </row>
    <row r="48" spans="1:10" s="3" customFormat="1" ht="24" x14ac:dyDescent="0.15">
      <c r="A48" s="7">
        <v>44</v>
      </c>
      <c r="B48" s="8">
        <v>2093</v>
      </c>
      <c r="C48" s="42" t="s">
        <v>1196</v>
      </c>
      <c r="D48" s="16" t="s">
        <v>1197</v>
      </c>
      <c r="E48" s="17" t="s">
        <v>1198</v>
      </c>
      <c r="F48" s="17" t="s">
        <v>1198</v>
      </c>
      <c r="G48" s="16" t="s">
        <v>250</v>
      </c>
      <c r="H48" s="44" t="s">
        <v>1199</v>
      </c>
      <c r="I48" s="11">
        <v>7</v>
      </c>
      <c r="J48" s="9"/>
    </row>
    <row r="49" spans="1:10" s="3" customFormat="1" ht="24" x14ac:dyDescent="0.15">
      <c r="A49" s="7">
        <v>45</v>
      </c>
      <c r="B49" s="8">
        <v>2094</v>
      </c>
      <c r="C49" s="42" t="s">
        <v>1200</v>
      </c>
      <c r="D49" s="16" t="s">
        <v>1201</v>
      </c>
      <c r="E49" s="17" t="s">
        <v>1202</v>
      </c>
      <c r="F49" s="17" t="s">
        <v>1202</v>
      </c>
      <c r="G49" s="16" t="s">
        <v>250</v>
      </c>
      <c r="H49" s="44" t="s">
        <v>1203</v>
      </c>
      <c r="I49" s="11">
        <v>7.9</v>
      </c>
      <c r="J49" s="9"/>
    </row>
    <row r="50" spans="1:10" s="3" customFormat="1" ht="24" x14ac:dyDescent="0.15">
      <c r="A50" s="7">
        <v>46</v>
      </c>
      <c r="B50" s="8">
        <v>2095</v>
      </c>
      <c r="C50" s="42" t="s">
        <v>1204</v>
      </c>
      <c r="D50" s="16" t="s">
        <v>1205</v>
      </c>
      <c r="E50" s="17" t="s">
        <v>1206</v>
      </c>
      <c r="F50" s="17" t="s">
        <v>1206</v>
      </c>
      <c r="G50" s="16" t="s">
        <v>250</v>
      </c>
      <c r="H50" s="44" t="s">
        <v>1207</v>
      </c>
      <c r="I50" s="11">
        <v>27</v>
      </c>
      <c r="J50" s="9"/>
    </row>
    <row r="51" spans="1:10" s="3" customFormat="1" ht="24" x14ac:dyDescent="0.15">
      <c r="A51" s="7">
        <v>47</v>
      </c>
      <c r="B51" s="8">
        <v>2096</v>
      </c>
      <c r="C51" s="42" t="s">
        <v>1208</v>
      </c>
      <c r="D51" s="16" t="s">
        <v>1209</v>
      </c>
      <c r="E51" s="17" t="s">
        <v>1210</v>
      </c>
      <c r="F51" s="17" t="s">
        <v>1210</v>
      </c>
      <c r="G51" s="16" t="s">
        <v>250</v>
      </c>
      <c r="H51" s="44" t="s">
        <v>1211</v>
      </c>
      <c r="I51" s="11">
        <v>10.8</v>
      </c>
      <c r="J51" s="9"/>
    </row>
    <row r="52" spans="1:10" s="3" customFormat="1" ht="24" x14ac:dyDescent="0.15">
      <c r="A52" s="7">
        <v>48</v>
      </c>
      <c r="B52" s="8">
        <v>2097</v>
      </c>
      <c r="C52" s="42" t="s">
        <v>1212</v>
      </c>
      <c r="D52" s="16" t="s">
        <v>1213</v>
      </c>
      <c r="E52" s="17" t="s">
        <v>1214</v>
      </c>
      <c r="F52" s="17" t="s">
        <v>1214</v>
      </c>
      <c r="G52" s="16" t="s">
        <v>250</v>
      </c>
      <c r="H52" s="44" t="s">
        <v>1215</v>
      </c>
      <c r="I52" s="11">
        <v>44.42</v>
      </c>
      <c r="J52" s="9"/>
    </row>
    <row r="53" spans="1:10" s="3" customFormat="1" ht="24" x14ac:dyDescent="0.15">
      <c r="A53" s="7">
        <v>49</v>
      </c>
      <c r="B53" s="8">
        <v>2098</v>
      </c>
      <c r="C53" s="17" t="s">
        <v>1216</v>
      </c>
      <c r="D53" s="43" t="s">
        <v>1217</v>
      </c>
      <c r="E53" s="17" t="s">
        <v>1218</v>
      </c>
      <c r="F53" s="17" t="s">
        <v>1218</v>
      </c>
      <c r="G53" s="16" t="s">
        <v>263</v>
      </c>
      <c r="H53" s="44" t="s">
        <v>1219</v>
      </c>
      <c r="I53" s="11">
        <v>19</v>
      </c>
      <c r="J53" s="9"/>
    </row>
    <row r="54" spans="1:10" s="3" customFormat="1" ht="24" x14ac:dyDescent="0.15">
      <c r="A54" s="7">
        <v>50</v>
      </c>
      <c r="B54" s="8">
        <v>2099</v>
      </c>
      <c r="C54" s="17" t="s">
        <v>1220</v>
      </c>
      <c r="D54" s="43" t="s">
        <v>1221</v>
      </c>
      <c r="E54" s="17" t="s">
        <v>1222</v>
      </c>
      <c r="F54" s="17" t="s">
        <v>1222</v>
      </c>
      <c r="G54" s="16" t="s">
        <v>263</v>
      </c>
      <c r="H54" s="44" t="s">
        <v>1223</v>
      </c>
      <c r="I54" s="11">
        <v>27.8</v>
      </c>
      <c r="J54" s="9"/>
    </row>
    <row r="55" spans="1:10" s="3" customFormat="1" ht="24" x14ac:dyDescent="0.15">
      <c r="A55" s="7">
        <v>51</v>
      </c>
      <c r="B55" s="8">
        <v>2100</v>
      </c>
      <c r="C55" s="17" t="s">
        <v>1224</v>
      </c>
      <c r="D55" s="43" t="s">
        <v>1225</v>
      </c>
      <c r="E55" s="17" t="s">
        <v>1226</v>
      </c>
      <c r="F55" s="17" t="s">
        <v>1226</v>
      </c>
      <c r="G55" s="16" t="s">
        <v>263</v>
      </c>
      <c r="H55" s="44" t="s">
        <v>1227</v>
      </c>
      <c r="I55" s="11">
        <v>29.5</v>
      </c>
      <c r="J55" s="9"/>
    </row>
    <row r="56" spans="1:10" s="3" customFormat="1" ht="24" x14ac:dyDescent="0.15">
      <c r="A56" s="7">
        <v>52</v>
      </c>
      <c r="B56" s="8">
        <v>2101</v>
      </c>
      <c r="C56" s="17" t="s">
        <v>1228</v>
      </c>
      <c r="D56" s="16" t="s">
        <v>1229</v>
      </c>
      <c r="E56" s="17" t="s">
        <v>1230</v>
      </c>
      <c r="F56" s="17" t="s">
        <v>1230</v>
      </c>
      <c r="G56" s="16" t="s">
        <v>263</v>
      </c>
      <c r="H56" s="44" t="s">
        <v>1231</v>
      </c>
      <c r="I56" s="11">
        <v>7</v>
      </c>
      <c r="J56" s="9"/>
    </row>
    <row r="57" spans="1:10" s="3" customFormat="1" ht="24" x14ac:dyDescent="0.15">
      <c r="A57" s="7">
        <v>53</v>
      </c>
      <c r="B57" s="8">
        <v>2102</v>
      </c>
      <c r="C57" s="42" t="s">
        <v>1232</v>
      </c>
      <c r="D57" s="16" t="s">
        <v>1233</v>
      </c>
      <c r="E57" s="17" t="s">
        <v>1234</v>
      </c>
      <c r="F57" s="17" t="s">
        <v>1234</v>
      </c>
      <c r="G57" s="16" t="s">
        <v>250</v>
      </c>
      <c r="H57" s="44" t="s">
        <v>1235</v>
      </c>
      <c r="I57" s="11">
        <v>19.5</v>
      </c>
      <c r="J57" s="9"/>
    </row>
    <row r="58" spans="1:10" s="3" customFormat="1" ht="24" x14ac:dyDescent="0.15">
      <c r="A58" s="7">
        <v>54</v>
      </c>
      <c r="B58" s="8">
        <v>2103</v>
      </c>
      <c r="C58" s="42" t="s">
        <v>1236</v>
      </c>
      <c r="D58" s="43" t="s">
        <v>1237</v>
      </c>
      <c r="E58" s="17" t="s">
        <v>1238</v>
      </c>
      <c r="F58" s="17" t="s">
        <v>1238</v>
      </c>
      <c r="G58" s="16" t="s">
        <v>250</v>
      </c>
      <c r="H58" s="44" t="s">
        <v>1239</v>
      </c>
      <c r="I58" s="11">
        <v>7.18</v>
      </c>
      <c r="J58" s="9"/>
    </row>
    <row r="59" spans="1:10" s="3" customFormat="1" ht="24" x14ac:dyDescent="0.15">
      <c r="A59" s="7">
        <v>55</v>
      </c>
      <c r="B59" s="8">
        <v>2104</v>
      </c>
      <c r="C59" s="42" t="s">
        <v>1240</v>
      </c>
      <c r="D59" s="16" t="s">
        <v>1241</v>
      </c>
      <c r="E59" s="17" t="s">
        <v>1242</v>
      </c>
      <c r="F59" s="17" t="s">
        <v>1242</v>
      </c>
      <c r="G59" s="16" t="s">
        <v>250</v>
      </c>
      <c r="H59" s="44" t="s">
        <v>1243</v>
      </c>
      <c r="I59" s="11">
        <v>5</v>
      </c>
      <c r="J59" s="9"/>
    </row>
    <row r="60" spans="1:10" s="3" customFormat="1" ht="24" x14ac:dyDescent="0.15">
      <c r="A60" s="7">
        <v>56</v>
      </c>
      <c r="B60" s="8">
        <v>2105</v>
      </c>
      <c r="C60" s="42" t="s">
        <v>1244</v>
      </c>
      <c r="D60" s="16" t="s">
        <v>1245</v>
      </c>
      <c r="E60" s="17" t="s">
        <v>1246</v>
      </c>
      <c r="F60" s="17" t="s">
        <v>1246</v>
      </c>
      <c r="G60" s="16" t="s">
        <v>250</v>
      </c>
      <c r="H60" s="44" t="s">
        <v>1247</v>
      </c>
      <c r="I60" s="11">
        <v>8</v>
      </c>
      <c r="J60" s="9"/>
    </row>
    <row r="61" spans="1:10" s="3" customFormat="1" ht="24" x14ac:dyDescent="0.15">
      <c r="A61" s="7">
        <v>57</v>
      </c>
      <c r="B61" s="8">
        <v>2106</v>
      </c>
      <c r="C61" s="42" t="s">
        <v>1248</v>
      </c>
      <c r="D61" s="16" t="s">
        <v>1249</v>
      </c>
      <c r="E61" s="17" t="s">
        <v>1250</v>
      </c>
      <c r="F61" s="17" t="s">
        <v>1250</v>
      </c>
      <c r="G61" s="16" t="s">
        <v>250</v>
      </c>
      <c r="H61" s="44" t="s">
        <v>1251</v>
      </c>
      <c r="I61" s="14">
        <v>10</v>
      </c>
      <c r="J61" s="9"/>
    </row>
    <row r="62" spans="1:10" s="3" customFormat="1" ht="24" x14ac:dyDescent="0.15">
      <c r="A62" s="7">
        <v>58</v>
      </c>
      <c r="B62" s="8">
        <v>2107</v>
      </c>
      <c r="C62" s="42" t="s">
        <v>1252</v>
      </c>
      <c r="D62" s="16" t="s">
        <v>1253</v>
      </c>
      <c r="E62" s="17" t="s">
        <v>1254</v>
      </c>
      <c r="F62" s="17" t="s">
        <v>1254</v>
      </c>
      <c r="G62" s="16" t="s">
        <v>250</v>
      </c>
      <c r="H62" s="44" t="s">
        <v>1255</v>
      </c>
      <c r="I62" s="11">
        <v>26</v>
      </c>
      <c r="J62" s="9"/>
    </row>
    <row r="63" spans="1:10" s="3" customFormat="1" ht="24" x14ac:dyDescent="0.15">
      <c r="A63" s="7">
        <v>59</v>
      </c>
      <c r="B63" s="8">
        <v>2108</v>
      </c>
      <c r="C63" s="42" t="s">
        <v>1256</v>
      </c>
      <c r="D63" s="16" t="s">
        <v>1257</v>
      </c>
      <c r="E63" s="17" t="s">
        <v>1258</v>
      </c>
      <c r="F63" s="17" t="s">
        <v>1259</v>
      </c>
      <c r="G63" s="16" t="s">
        <v>250</v>
      </c>
      <c r="H63" s="44" t="s">
        <v>1260</v>
      </c>
      <c r="I63" s="11">
        <v>28</v>
      </c>
      <c r="J63" s="9"/>
    </row>
    <row r="64" spans="1:10" s="3" customFormat="1" ht="24" x14ac:dyDescent="0.15">
      <c r="A64" s="7">
        <v>60</v>
      </c>
      <c r="B64" s="8">
        <v>2109</v>
      </c>
      <c r="C64" s="42" t="s">
        <v>1261</v>
      </c>
      <c r="D64" s="16" t="s">
        <v>1262</v>
      </c>
      <c r="E64" s="17" t="s">
        <v>1263</v>
      </c>
      <c r="F64" s="17" t="s">
        <v>1264</v>
      </c>
      <c r="G64" s="16" t="s">
        <v>250</v>
      </c>
      <c r="H64" s="44" t="s">
        <v>1265</v>
      </c>
      <c r="I64" s="11">
        <v>23</v>
      </c>
      <c r="J64" s="9"/>
    </row>
    <row r="65" spans="1:10" s="3" customFormat="1" ht="36" x14ac:dyDescent="0.15">
      <c r="A65" s="7">
        <v>61</v>
      </c>
      <c r="B65" s="8">
        <v>2110</v>
      </c>
      <c r="C65" s="42" t="s">
        <v>1266</v>
      </c>
      <c r="D65" s="16" t="s">
        <v>1267</v>
      </c>
      <c r="E65" s="17" t="s">
        <v>1268</v>
      </c>
      <c r="F65" s="17" t="s">
        <v>1269</v>
      </c>
      <c r="G65" s="16" t="s">
        <v>250</v>
      </c>
      <c r="H65" s="44" t="s">
        <v>1270</v>
      </c>
      <c r="I65" s="11">
        <v>56</v>
      </c>
      <c r="J65" s="9"/>
    </row>
    <row r="66" spans="1:10" s="3" customFormat="1" ht="24" x14ac:dyDescent="0.15">
      <c r="A66" s="7">
        <v>62</v>
      </c>
      <c r="B66" s="8">
        <v>2111</v>
      </c>
      <c r="C66" s="42" t="s">
        <v>1271</v>
      </c>
      <c r="D66" s="43" t="s">
        <v>1272</v>
      </c>
      <c r="E66" s="17" t="s">
        <v>1273</v>
      </c>
      <c r="F66" s="17" t="s">
        <v>1273</v>
      </c>
      <c r="G66" s="16" t="s">
        <v>250</v>
      </c>
      <c r="H66" s="44" t="s">
        <v>1274</v>
      </c>
      <c r="I66" s="11">
        <v>17</v>
      </c>
      <c r="J66" s="9"/>
    </row>
    <row r="67" spans="1:10" s="3" customFormat="1" ht="24" x14ac:dyDescent="0.15">
      <c r="A67" s="7">
        <v>63</v>
      </c>
      <c r="B67" s="8">
        <v>2112</v>
      </c>
      <c r="C67" s="42" t="s">
        <v>1275</v>
      </c>
      <c r="D67" s="16" t="s">
        <v>1276</v>
      </c>
      <c r="E67" s="17" t="s">
        <v>1277</v>
      </c>
      <c r="F67" s="17" t="s">
        <v>1277</v>
      </c>
      <c r="G67" s="16" t="s">
        <v>250</v>
      </c>
      <c r="H67" s="44" t="s">
        <v>1278</v>
      </c>
      <c r="I67" s="11">
        <v>8</v>
      </c>
      <c r="J67" s="9"/>
    </row>
    <row r="68" spans="1:10" s="3" customFormat="1" ht="24" x14ac:dyDescent="0.15">
      <c r="A68" s="7">
        <v>64</v>
      </c>
      <c r="B68" s="8">
        <v>2113</v>
      </c>
      <c r="C68" s="42" t="s">
        <v>1279</v>
      </c>
      <c r="D68" s="16" t="s">
        <v>1280</v>
      </c>
      <c r="E68" s="17" t="s">
        <v>1281</v>
      </c>
      <c r="F68" s="17" t="s">
        <v>1281</v>
      </c>
      <c r="G68" s="16" t="s">
        <v>250</v>
      </c>
      <c r="H68" s="44" t="s">
        <v>1282</v>
      </c>
      <c r="I68" s="11">
        <v>7.2</v>
      </c>
      <c r="J68" s="9"/>
    </row>
    <row r="69" spans="1:10" s="3" customFormat="1" ht="24" x14ac:dyDescent="0.15">
      <c r="A69" s="7">
        <v>65</v>
      </c>
      <c r="B69" s="8">
        <v>2114</v>
      </c>
      <c r="C69" s="42" t="s">
        <v>1283</v>
      </c>
      <c r="D69" s="16" t="s">
        <v>1284</v>
      </c>
      <c r="E69" s="17" t="s">
        <v>1285</v>
      </c>
      <c r="F69" s="17" t="s">
        <v>1285</v>
      </c>
      <c r="G69" s="16" t="s">
        <v>250</v>
      </c>
      <c r="H69" s="44" t="s">
        <v>1286</v>
      </c>
      <c r="I69" s="11">
        <v>7.8</v>
      </c>
      <c r="J69" s="9"/>
    </row>
    <row r="70" spans="1:10" s="3" customFormat="1" ht="24" x14ac:dyDescent="0.15">
      <c r="A70" s="7">
        <v>66</v>
      </c>
      <c r="B70" s="8">
        <v>2115</v>
      </c>
      <c r="C70" s="42" t="s">
        <v>1287</v>
      </c>
      <c r="D70" s="16" t="s">
        <v>1288</v>
      </c>
      <c r="E70" s="17" t="s">
        <v>1289</v>
      </c>
      <c r="F70" s="17" t="s">
        <v>1289</v>
      </c>
      <c r="G70" s="16" t="s">
        <v>250</v>
      </c>
      <c r="H70" s="44" t="s">
        <v>1290</v>
      </c>
      <c r="I70" s="11">
        <v>10</v>
      </c>
      <c r="J70" s="9"/>
    </row>
    <row r="71" spans="1:10" s="3" customFormat="1" ht="24" x14ac:dyDescent="0.15">
      <c r="A71" s="7">
        <v>67</v>
      </c>
      <c r="B71" s="8">
        <v>2116</v>
      </c>
      <c r="C71" s="42" t="s">
        <v>1291</v>
      </c>
      <c r="D71" s="16" t="s">
        <v>1292</v>
      </c>
      <c r="E71" s="17" t="s">
        <v>1293</v>
      </c>
      <c r="F71" s="17" t="s">
        <v>1293</v>
      </c>
      <c r="G71" s="16" t="s">
        <v>250</v>
      </c>
      <c r="H71" s="44" t="s">
        <v>1294</v>
      </c>
      <c r="I71" s="11">
        <v>5</v>
      </c>
      <c r="J71" s="9"/>
    </row>
    <row r="72" spans="1:10" s="3" customFormat="1" ht="24" x14ac:dyDescent="0.15">
      <c r="A72" s="7">
        <v>68</v>
      </c>
      <c r="B72" s="8">
        <v>2117</v>
      </c>
      <c r="C72" s="42" t="s">
        <v>1295</v>
      </c>
      <c r="D72" s="16" t="s">
        <v>1296</v>
      </c>
      <c r="E72" s="17" t="s">
        <v>1297</v>
      </c>
      <c r="F72" s="17" t="s">
        <v>1297</v>
      </c>
      <c r="G72" s="16" t="s">
        <v>250</v>
      </c>
      <c r="H72" s="44" t="s">
        <v>1298</v>
      </c>
      <c r="I72" s="11">
        <v>7</v>
      </c>
      <c r="J72" s="9"/>
    </row>
    <row r="73" spans="1:10" s="3" customFormat="1" ht="24" x14ac:dyDescent="0.15">
      <c r="A73" s="7">
        <v>69</v>
      </c>
      <c r="B73" s="8">
        <v>2118</v>
      </c>
      <c r="C73" s="42" t="s">
        <v>1299</v>
      </c>
      <c r="D73" s="16" t="s">
        <v>1300</v>
      </c>
      <c r="E73" s="17" t="s">
        <v>1301</v>
      </c>
      <c r="F73" s="17" t="s">
        <v>1301</v>
      </c>
      <c r="G73" s="16" t="s">
        <v>250</v>
      </c>
      <c r="H73" s="44" t="s">
        <v>1302</v>
      </c>
      <c r="I73" s="11">
        <v>26</v>
      </c>
      <c r="J73" s="9"/>
    </row>
    <row r="74" spans="1:10" s="3" customFormat="1" ht="24" x14ac:dyDescent="0.15">
      <c r="A74" s="7">
        <v>70</v>
      </c>
      <c r="B74" s="8">
        <v>2119</v>
      </c>
      <c r="C74" s="42" t="s">
        <v>1303</v>
      </c>
      <c r="D74" s="16" t="s">
        <v>1304</v>
      </c>
      <c r="E74" s="17" t="s">
        <v>1305</v>
      </c>
      <c r="F74" s="17" t="s">
        <v>1305</v>
      </c>
      <c r="G74" s="16" t="s">
        <v>250</v>
      </c>
      <c r="H74" s="40" t="s">
        <v>1306</v>
      </c>
      <c r="I74" s="11">
        <v>8</v>
      </c>
      <c r="J74" s="9"/>
    </row>
    <row r="75" spans="1:10" s="3" customFormat="1" ht="24" x14ac:dyDescent="0.15">
      <c r="A75" s="7">
        <v>71</v>
      </c>
      <c r="B75" s="8">
        <v>2120</v>
      </c>
      <c r="C75" s="42" t="s">
        <v>1307</v>
      </c>
      <c r="D75" s="16" t="s">
        <v>1308</v>
      </c>
      <c r="E75" s="17" t="s">
        <v>1309</v>
      </c>
      <c r="F75" s="17" t="s">
        <v>1309</v>
      </c>
      <c r="G75" s="16" t="s">
        <v>250</v>
      </c>
      <c r="H75" s="40" t="s">
        <v>1310</v>
      </c>
      <c r="I75" s="11">
        <v>9.8000000000000007</v>
      </c>
      <c r="J75" s="9"/>
    </row>
    <row r="76" spans="1:10" s="3" customFormat="1" ht="24" x14ac:dyDescent="0.15">
      <c r="A76" s="7">
        <v>72</v>
      </c>
      <c r="B76" s="8">
        <v>2121</v>
      </c>
      <c r="C76" s="42" t="s">
        <v>1311</v>
      </c>
      <c r="D76" s="16" t="s">
        <v>1312</v>
      </c>
      <c r="E76" s="17" t="s">
        <v>1313</v>
      </c>
      <c r="F76" s="17" t="s">
        <v>1313</v>
      </c>
      <c r="G76" s="16" t="s">
        <v>250</v>
      </c>
      <c r="H76" s="40" t="s">
        <v>1314</v>
      </c>
      <c r="I76" s="11">
        <v>27.5</v>
      </c>
      <c r="J76" s="9"/>
    </row>
    <row r="77" spans="1:10" s="3" customFormat="1" ht="24" x14ac:dyDescent="0.15">
      <c r="A77" s="7">
        <v>73</v>
      </c>
      <c r="B77" s="8">
        <v>2122</v>
      </c>
      <c r="C77" s="42" t="s">
        <v>1315</v>
      </c>
      <c r="D77" s="16" t="s">
        <v>1316</v>
      </c>
      <c r="E77" s="17" t="s">
        <v>1317</v>
      </c>
      <c r="F77" s="17" t="s">
        <v>1317</v>
      </c>
      <c r="G77" s="16" t="s">
        <v>250</v>
      </c>
      <c r="H77" s="40" t="s">
        <v>1318</v>
      </c>
      <c r="I77" s="11">
        <v>10.4</v>
      </c>
      <c r="J77" s="9"/>
    </row>
    <row r="78" spans="1:10" s="3" customFormat="1" ht="24" x14ac:dyDescent="0.15">
      <c r="A78" s="7">
        <v>74</v>
      </c>
      <c r="B78" s="8">
        <v>2123</v>
      </c>
      <c r="C78" s="42" t="s">
        <v>1319</v>
      </c>
      <c r="D78" s="16" t="s">
        <v>1320</v>
      </c>
      <c r="E78" s="17" t="s">
        <v>1321</v>
      </c>
      <c r="F78" s="17" t="s">
        <v>1321</v>
      </c>
      <c r="G78" s="16" t="s">
        <v>250</v>
      </c>
      <c r="H78" s="40" t="s">
        <v>1322</v>
      </c>
      <c r="I78" s="11">
        <v>8</v>
      </c>
      <c r="J78" s="9"/>
    </row>
    <row r="79" spans="1:10" s="3" customFormat="1" ht="24" x14ac:dyDescent="0.15">
      <c r="A79" s="7">
        <v>75</v>
      </c>
      <c r="B79" s="8">
        <v>2124</v>
      </c>
      <c r="C79" s="42" t="s">
        <v>1323</v>
      </c>
      <c r="D79" s="16" t="s">
        <v>1324</v>
      </c>
      <c r="E79" s="17" t="s">
        <v>1325</v>
      </c>
      <c r="F79" s="17" t="s">
        <v>1325</v>
      </c>
      <c r="G79" s="16" t="s">
        <v>250</v>
      </c>
      <c r="H79" s="40" t="s">
        <v>1326</v>
      </c>
      <c r="I79" s="11">
        <v>6</v>
      </c>
      <c r="J79" s="9"/>
    </row>
    <row r="80" spans="1:10" s="3" customFormat="1" ht="24" x14ac:dyDescent="0.15">
      <c r="A80" s="7">
        <v>76</v>
      </c>
      <c r="B80" s="8">
        <v>2125</v>
      </c>
      <c r="C80" s="42" t="s">
        <v>1327</v>
      </c>
      <c r="D80" s="16" t="s">
        <v>1328</v>
      </c>
      <c r="E80" s="17" t="s">
        <v>1329</v>
      </c>
      <c r="F80" s="17" t="s">
        <v>1329</v>
      </c>
      <c r="G80" s="16" t="s">
        <v>250</v>
      </c>
      <c r="H80" s="40" t="s">
        <v>1330</v>
      </c>
      <c r="I80" s="11">
        <v>12</v>
      </c>
      <c r="J80" s="9"/>
    </row>
    <row r="81" spans="1:11" s="3" customFormat="1" ht="24" x14ac:dyDescent="0.15">
      <c r="A81" s="7">
        <v>77</v>
      </c>
      <c r="B81" s="8">
        <v>2126</v>
      </c>
      <c r="C81" s="17" t="s">
        <v>1331</v>
      </c>
      <c r="D81" s="43" t="s">
        <v>1332</v>
      </c>
      <c r="E81" s="17" t="s">
        <v>1333</v>
      </c>
      <c r="F81" s="17" t="s">
        <v>1333</v>
      </c>
      <c r="G81" s="16" t="s">
        <v>263</v>
      </c>
      <c r="H81" s="44" t="s">
        <v>1334</v>
      </c>
      <c r="I81" s="11">
        <v>18.7</v>
      </c>
      <c r="J81" s="9"/>
    </row>
    <row r="82" spans="1:11" s="3" customFormat="1" ht="24" x14ac:dyDescent="0.15">
      <c r="A82" s="7">
        <v>78</v>
      </c>
      <c r="B82" s="8">
        <v>2127</v>
      </c>
      <c r="C82" s="17" t="s">
        <v>1335</v>
      </c>
      <c r="D82" s="16" t="s">
        <v>1336</v>
      </c>
      <c r="E82" s="17" t="s">
        <v>1337</v>
      </c>
      <c r="F82" s="17" t="s">
        <v>1337</v>
      </c>
      <c r="G82" s="16" t="s">
        <v>263</v>
      </c>
      <c r="H82" s="44" t="s">
        <v>1338</v>
      </c>
      <c r="I82" s="11">
        <v>10</v>
      </c>
      <c r="J82" s="9"/>
    </row>
    <row r="83" spans="1:11" s="3" customFormat="1" ht="24" x14ac:dyDescent="0.15">
      <c r="A83" s="7">
        <v>79</v>
      </c>
      <c r="B83" s="8">
        <v>2128</v>
      </c>
      <c r="C83" s="17" t="s">
        <v>1339</v>
      </c>
      <c r="D83" s="16" t="s">
        <v>1340</v>
      </c>
      <c r="E83" s="17" t="s">
        <v>1341</v>
      </c>
      <c r="F83" s="17" t="s">
        <v>1341</v>
      </c>
      <c r="G83" s="16" t="s">
        <v>263</v>
      </c>
      <c r="H83" s="44" t="s">
        <v>1342</v>
      </c>
      <c r="I83" s="11">
        <v>13.6</v>
      </c>
      <c r="J83" s="9"/>
    </row>
    <row r="84" spans="1:11" s="3" customFormat="1" ht="24" x14ac:dyDescent="0.15">
      <c r="A84" s="7">
        <v>80</v>
      </c>
      <c r="B84" s="8">
        <v>2129</v>
      </c>
      <c r="C84" s="17" t="s">
        <v>1343</v>
      </c>
      <c r="D84" s="16" t="s">
        <v>1344</v>
      </c>
      <c r="E84" s="17" t="s">
        <v>1345</v>
      </c>
      <c r="F84" s="17" t="s">
        <v>1345</v>
      </c>
      <c r="G84" s="16" t="s">
        <v>263</v>
      </c>
      <c r="H84" s="44" t="s">
        <v>1346</v>
      </c>
      <c r="I84" s="11">
        <v>24.4</v>
      </c>
      <c r="J84" s="9"/>
    </row>
    <row r="85" spans="1:11" s="3" customFormat="1" ht="24" x14ac:dyDescent="0.15">
      <c r="A85" s="7">
        <v>81</v>
      </c>
      <c r="B85" s="8">
        <v>2130</v>
      </c>
      <c r="C85" s="17" t="s">
        <v>1347</v>
      </c>
      <c r="D85" s="16" t="s">
        <v>1348</v>
      </c>
      <c r="E85" s="17" t="s">
        <v>1349</v>
      </c>
      <c r="F85" s="17" t="s">
        <v>1349</v>
      </c>
      <c r="G85" s="16" t="s">
        <v>263</v>
      </c>
      <c r="H85" s="44" t="s">
        <v>1350</v>
      </c>
      <c r="I85" s="11">
        <v>30</v>
      </c>
      <c r="J85" s="9"/>
    </row>
    <row r="86" spans="1:11" s="3" customFormat="1" ht="24" x14ac:dyDescent="0.15">
      <c r="A86" s="7">
        <v>82</v>
      </c>
      <c r="B86" s="8">
        <v>2131</v>
      </c>
      <c r="C86" s="17" t="s">
        <v>1351</v>
      </c>
      <c r="D86" s="43" t="s">
        <v>1352</v>
      </c>
      <c r="E86" s="17" t="s">
        <v>1353</v>
      </c>
      <c r="F86" s="17" t="s">
        <v>1353</v>
      </c>
      <c r="G86" s="16" t="s">
        <v>263</v>
      </c>
      <c r="H86" s="44" t="s">
        <v>1354</v>
      </c>
      <c r="I86" s="11">
        <v>18</v>
      </c>
      <c r="J86" s="9"/>
    </row>
    <row r="87" spans="1:11" s="3" customFormat="1" ht="24" x14ac:dyDescent="0.15">
      <c r="A87" s="7">
        <v>83</v>
      </c>
      <c r="B87" s="8">
        <v>2132</v>
      </c>
      <c r="C87" s="17" t="s">
        <v>1355</v>
      </c>
      <c r="D87" s="16" t="s">
        <v>1356</v>
      </c>
      <c r="E87" s="17" t="s">
        <v>1357</v>
      </c>
      <c r="F87" s="17" t="s">
        <v>1357</v>
      </c>
      <c r="G87" s="16" t="s">
        <v>263</v>
      </c>
      <c r="H87" s="44" t="s">
        <v>1358</v>
      </c>
      <c r="I87" s="11">
        <v>27</v>
      </c>
      <c r="J87" s="9"/>
    </row>
    <row r="88" spans="1:11" s="3" customFormat="1" ht="24" x14ac:dyDescent="0.15">
      <c r="A88" s="7">
        <v>84</v>
      </c>
      <c r="B88" s="8">
        <v>2133</v>
      </c>
      <c r="C88" s="17" t="s">
        <v>1359</v>
      </c>
      <c r="D88" s="16" t="s">
        <v>1360</v>
      </c>
      <c r="E88" s="17" t="s">
        <v>1361</v>
      </c>
      <c r="F88" s="17" t="s">
        <v>1361</v>
      </c>
      <c r="G88" s="16" t="s">
        <v>263</v>
      </c>
      <c r="H88" s="44" t="s">
        <v>1362</v>
      </c>
      <c r="I88" s="11">
        <v>23</v>
      </c>
      <c r="J88" s="9"/>
    </row>
    <row r="89" spans="1:11" s="3" customFormat="1" ht="24" x14ac:dyDescent="0.15">
      <c r="A89" s="7">
        <v>85</v>
      </c>
      <c r="B89" s="8">
        <v>2134</v>
      </c>
      <c r="C89" s="17" t="s">
        <v>1363</v>
      </c>
      <c r="D89" s="16" t="s">
        <v>1364</v>
      </c>
      <c r="E89" s="17" t="s">
        <v>1365</v>
      </c>
      <c r="F89" s="17" t="s">
        <v>1365</v>
      </c>
      <c r="G89" s="16" t="s">
        <v>263</v>
      </c>
      <c r="H89" s="44" t="s">
        <v>1366</v>
      </c>
      <c r="I89" s="11">
        <v>29.6</v>
      </c>
      <c r="J89" s="9"/>
    </row>
    <row r="90" spans="1:11" s="3" customFormat="1" ht="24" x14ac:dyDescent="0.15">
      <c r="A90" s="7">
        <v>86</v>
      </c>
      <c r="B90" s="8">
        <v>2135</v>
      </c>
      <c r="C90" s="17" t="s">
        <v>1367</v>
      </c>
      <c r="D90" s="16" t="s">
        <v>1368</v>
      </c>
      <c r="E90" s="17" t="s">
        <v>1369</v>
      </c>
      <c r="F90" s="17" t="s">
        <v>1369</v>
      </c>
      <c r="G90" s="16" t="s">
        <v>263</v>
      </c>
      <c r="H90" s="44" t="s">
        <v>1370</v>
      </c>
      <c r="I90" s="11">
        <v>49.9</v>
      </c>
      <c r="J90" s="9"/>
    </row>
    <row r="91" spans="1:11" s="3" customFormat="1" ht="24" x14ac:dyDescent="0.15">
      <c r="A91" s="7">
        <v>87</v>
      </c>
      <c r="B91" s="8">
        <v>2136</v>
      </c>
      <c r="C91" s="17" t="s">
        <v>1371</v>
      </c>
      <c r="D91" s="16" t="s">
        <v>1372</v>
      </c>
      <c r="E91" s="17" t="s">
        <v>1373</v>
      </c>
      <c r="F91" s="17" t="s">
        <v>1373</v>
      </c>
      <c r="G91" s="16" t="s">
        <v>263</v>
      </c>
      <c r="H91" s="44" t="s">
        <v>1374</v>
      </c>
      <c r="I91" s="11">
        <v>18</v>
      </c>
      <c r="J91" s="9"/>
    </row>
    <row r="92" spans="1:11" s="3" customFormat="1" ht="24" x14ac:dyDescent="0.15">
      <c r="A92" s="7">
        <v>88</v>
      </c>
      <c r="B92" s="8">
        <v>2137</v>
      </c>
      <c r="C92" s="17" t="s">
        <v>1375</v>
      </c>
      <c r="D92" s="16" t="s">
        <v>1376</v>
      </c>
      <c r="E92" s="17" t="s">
        <v>1377</v>
      </c>
      <c r="F92" s="17" t="s">
        <v>1377</v>
      </c>
      <c r="G92" s="16" t="s">
        <v>263</v>
      </c>
      <c r="H92" s="44" t="s">
        <v>1378</v>
      </c>
      <c r="I92" s="11">
        <v>24</v>
      </c>
      <c r="J92" s="9"/>
    </row>
    <row r="93" spans="1:11" s="3" customFormat="1" ht="24" x14ac:dyDescent="0.15">
      <c r="A93" s="7">
        <v>89</v>
      </c>
      <c r="B93" s="8">
        <v>2138</v>
      </c>
      <c r="C93" s="17" t="s">
        <v>1379</v>
      </c>
      <c r="D93" s="16" t="s">
        <v>1380</v>
      </c>
      <c r="E93" s="17" t="s">
        <v>1381</v>
      </c>
      <c r="F93" s="17" t="s">
        <v>1381</v>
      </c>
      <c r="G93" s="16" t="s">
        <v>263</v>
      </c>
      <c r="H93" s="44" t="s">
        <v>1382</v>
      </c>
      <c r="I93" s="11">
        <v>26</v>
      </c>
      <c r="J93" s="9"/>
    </row>
    <row r="94" spans="1:11" s="3" customFormat="1" ht="24" x14ac:dyDescent="0.15">
      <c r="A94" s="7">
        <v>90</v>
      </c>
      <c r="B94" s="8">
        <v>2139</v>
      </c>
      <c r="C94" s="17" t="s">
        <v>1383</v>
      </c>
      <c r="D94" s="16" t="s">
        <v>1384</v>
      </c>
      <c r="E94" s="17" t="s">
        <v>1385</v>
      </c>
      <c r="F94" s="17" t="s">
        <v>1385</v>
      </c>
      <c r="G94" s="16" t="s">
        <v>263</v>
      </c>
      <c r="H94" s="44" t="s">
        <v>1386</v>
      </c>
      <c r="I94" s="11">
        <v>16</v>
      </c>
      <c r="J94" s="9"/>
    </row>
    <row r="95" spans="1:11" s="3" customFormat="1" ht="24" x14ac:dyDescent="0.15">
      <c r="A95" s="7">
        <v>91</v>
      </c>
      <c r="B95" s="8">
        <v>2140</v>
      </c>
      <c r="C95" s="17" t="s">
        <v>1387</v>
      </c>
      <c r="D95" s="16" t="s">
        <v>1388</v>
      </c>
      <c r="E95" s="17" t="s">
        <v>1389</v>
      </c>
      <c r="F95" s="17" t="s">
        <v>1389</v>
      </c>
      <c r="G95" s="16" t="s">
        <v>263</v>
      </c>
      <c r="H95" s="43" t="s">
        <v>1390</v>
      </c>
      <c r="I95" s="17">
        <v>27.5</v>
      </c>
      <c r="J95" s="17"/>
      <c r="K95" s="41"/>
    </row>
    <row r="96" spans="1:11" s="3" customFormat="1" ht="24" x14ac:dyDescent="0.15">
      <c r="A96" s="7">
        <v>92</v>
      </c>
      <c r="B96" s="8">
        <v>2141</v>
      </c>
      <c r="C96" s="17" t="s">
        <v>1391</v>
      </c>
      <c r="D96" s="16" t="s">
        <v>1392</v>
      </c>
      <c r="E96" s="17" t="s">
        <v>1393</v>
      </c>
      <c r="F96" s="17" t="s">
        <v>1393</v>
      </c>
      <c r="G96" s="16" t="s">
        <v>263</v>
      </c>
      <c r="H96" s="40" t="s">
        <v>1394</v>
      </c>
      <c r="I96" s="11">
        <v>18</v>
      </c>
      <c r="J96" s="9"/>
    </row>
    <row r="97" spans="1:10" s="3" customFormat="1" ht="24" x14ac:dyDescent="0.15">
      <c r="A97" s="7">
        <v>93</v>
      </c>
      <c r="B97" s="8">
        <v>2142</v>
      </c>
      <c r="C97" s="17" t="s">
        <v>1395</v>
      </c>
      <c r="D97" s="16" t="s">
        <v>1396</v>
      </c>
      <c r="E97" s="17" t="s">
        <v>1397</v>
      </c>
      <c r="F97" s="17" t="s">
        <v>1397</v>
      </c>
      <c r="G97" s="16" t="s">
        <v>263</v>
      </c>
      <c r="H97" s="40" t="s">
        <v>1398</v>
      </c>
      <c r="I97" s="11">
        <v>27.8</v>
      </c>
      <c r="J97" s="9"/>
    </row>
    <row r="98" spans="1:10" s="3" customFormat="1" ht="24" x14ac:dyDescent="0.15">
      <c r="A98" s="7">
        <v>94</v>
      </c>
      <c r="B98" s="8">
        <v>2143</v>
      </c>
      <c r="C98" s="17" t="s">
        <v>1399</v>
      </c>
      <c r="D98" s="16" t="s">
        <v>1400</v>
      </c>
      <c r="E98" s="17" t="s">
        <v>1401</v>
      </c>
      <c r="F98" s="17" t="s">
        <v>1401</v>
      </c>
      <c r="G98" s="16" t="s">
        <v>263</v>
      </c>
      <c r="H98" s="40" t="s">
        <v>1402</v>
      </c>
      <c r="I98" s="11">
        <v>26</v>
      </c>
      <c r="J98" s="9"/>
    </row>
    <row r="99" spans="1:10" s="3" customFormat="1" ht="24" x14ac:dyDescent="0.15">
      <c r="A99" s="7">
        <v>95</v>
      </c>
      <c r="B99" s="8">
        <v>2144</v>
      </c>
      <c r="C99" s="17" t="s">
        <v>1403</v>
      </c>
      <c r="D99" s="16" t="s">
        <v>1404</v>
      </c>
      <c r="E99" s="17" t="s">
        <v>1405</v>
      </c>
      <c r="F99" s="17" t="s">
        <v>1405</v>
      </c>
      <c r="G99" s="16" t="s">
        <v>263</v>
      </c>
      <c r="H99" s="40" t="s">
        <v>1406</v>
      </c>
      <c r="I99" s="11">
        <v>24</v>
      </c>
      <c r="J99" s="9"/>
    </row>
    <row r="100" spans="1:10" s="3" customFormat="1" ht="24" x14ac:dyDescent="0.15">
      <c r="A100" s="7">
        <v>96</v>
      </c>
      <c r="B100" s="8">
        <v>2145</v>
      </c>
      <c r="C100" s="17" t="s">
        <v>1407</v>
      </c>
      <c r="D100" s="16" t="s">
        <v>1408</v>
      </c>
      <c r="E100" s="17" t="s">
        <v>1409</v>
      </c>
      <c r="F100" s="17" t="s">
        <v>1409</v>
      </c>
      <c r="G100" s="16" t="s">
        <v>263</v>
      </c>
      <c r="H100" s="40" t="s">
        <v>1410</v>
      </c>
      <c r="I100" s="11">
        <v>15</v>
      </c>
      <c r="J100" s="9"/>
    </row>
    <row r="101" spans="1:10" s="3" customFormat="1" ht="24" x14ac:dyDescent="0.15">
      <c r="A101" s="7">
        <v>97</v>
      </c>
      <c r="B101" s="8">
        <v>2146</v>
      </c>
      <c r="C101" s="17" t="s">
        <v>1411</v>
      </c>
      <c r="D101" s="16" t="s">
        <v>1412</v>
      </c>
      <c r="E101" s="17" t="s">
        <v>1413</v>
      </c>
      <c r="F101" s="17" t="s">
        <v>1413</v>
      </c>
      <c r="G101" s="16" t="s">
        <v>263</v>
      </c>
      <c r="H101" s="40" t="s">
        <v>1414</v>
      </c>
      <c r="I101" s="11">
        <v>27.7</v>
      </c>
      <c r="J101" s="9"/>
    </row>
    <row r="102" spans="1:10" s="3" customFormat="1" ht="24" x14ac:dyDescent="0.15">
      <c r="A102" s="7">
        <v>98</v>
      </c>
      <c r="B102" s="8">
        <v>2147</v>
      </c>
      <c r="C102" s="17" t="s">
        <v>1415</v>
      </c>
      <c r="D102" s="16" t="s">
        <v>1416</v>
      </c>
      <c r="E102" s="17" t="s">
        <v>1417</v>
      </c>
      <c r="F102" s="17" t="s">
        <v>1417</v>
      </c>
      <c r="G102" s="16" t="s">
        <v>263</v>
      </c>
      <c r="H102" s="40" t="s">
        <v>1418</v>
      </c>
      <c r="I102" s="11">
        <v>26</v>
      </c>
      <c r="J102" s="9"/>
    </row>
    <row r="103" spans="1:10" s="3" customFormat="1" ht="24" x14ac:dyDescent="0.15">
      <c r="A103" s="7">
        <v>99</v>
      </c>
      <c r="B103" s="8">
        <v>2148</v>
      </c>
      <c r="C103" s="17" t="s">
        <v>1419</v>
      </c>
      <c r="D103" s="16" t="s">
        <v>1420</v>
      </c>
      <c r="E103" s="17" t="s">
        <v>1421</v>
      </c>
      <c r="F103" s="17" t="s">
        <v>1421</v>
      </c>
      <c r="G103" s="16" t="s">
        <v>263</v>
      </c>
      <c r="H103" s="40" t="s">
        <v>1422</v>
      </c>
      <c r="I103" s="11">
        <v>26.7</v>
      </c>
      <c r="J103" s="9"/>
    </row>
    <row r="104" spans="1:10" s="3" customFormat="1" ht="24" x14ac:dyDescent="0.15">
      <c r="A104" s="7">
        <v>100</v>
      </c>
      <c r="B104" s="8">
        <v>2149</v>
      </c>
      <c r="C104" s="17" t="s">
        <v>1423</v>
      </c>
      <c r="D104" s="16" t="s">
        <v>1424</v>
      </c>
      <c r="E104" s="17" t="s">
        <v>1425</v>
      </c>
      <c r="F104" s="17" t="s">
        <v>1425</v>
      </c>
      <c r="G104" s="16" t="s">
        <v>263</v>
      </c>
      <c r="H104" s="40" t="s">
        <v>1426</v>
      </c>
      <c r="I104" s="11">
        <v>18.920000000000002</v>
      </c>
      <c r="J104" s="9"/>
    </row>
    <row r="105" spans="1:10" s="3" customFormat="1" ht="24" x14ac:dyDescent="0.15">
      <c r="A105" s="7">
        <v>101</v>
      </c>
      <c r="B105" s="8">
        <v>2150</v>
      </c>
      <c r="C105" s="17" t="s">
        <v>1427</v>
      </c>
      <c r="D105" s="16" t="s">
        <v>1428</v>
      </c>
      <c r="E105" s="17" t="s">
        <v>1429</v>
      </c>
      <c r="F105" s="17" t="s">
        <v>1429</v>
      </c>
      <c r="G105" s="16" t="s">
        <v>263</v>
      </c>
      <c r="H105" s="40" t="s">
        <v>1430</v>
      </c>
      <c r="I105" s="11">
        <v>20</v>
      </c>
      <c r="J105" s="9"/>
    </row>
    <row r="106" spans="1:10" s="3" customFormat="1" ht="24" x14ac:dyDescent="0.15">
      <c r="A106" s="7">
        <v>102</v>
      </c>
      <c r="B106" s="8">
        <v>2151</v>
      </c>
      <c r="C106" s="17" t="s">
        <v>1431</v>
      </c>
      <c r="D106" s="16" t="s">
        <v>1432</v>
      </c>
      <c r="E106" s="17" t="s">
        <v>1433</v>
      </c>
      <c r="F106" s="17" t="s">
        <v>1433</v>
      </c>
      <c r="G106" s="16" t="s">
        <v>263</v>
      </c>
      <c r="H106" s="40" t="s">
        <v>1434</v>
      </c>
      <c r="I106" s="11">
        <v>18</v>
      </c>
      <c r="J106" s="9"/>
    </row>
    <row r="107" spans="1:10" s="3" customFormat="1" ht="24" x14ac:dyDescent="0.15">
      <c r="A107" s="7">
        <v>103</v>
      </c>
      <c r="B107" s="8">
        <v>2152</v>
      </c>
      <c r="C107" s="17" t="s">
        <v>1435</v>
      </c>
      <c r="D107" s="16" t="s">
        <v>1436</v>
      </c>
      <c r="E107" s="17" t="s">
        <v>1437</v>
      </c>
      <c r="F107" s="17" t="s">
        <v>1437</v>
      </c>
      <c r="G107" s="16" t="s">
        <v>263</v>
      </c>
      <c r="H107" s="40" t="s">
        <v>1438</v>
      </c>
      <c r="I107" s="11">
        <v>27.5</v>
      </c>
      <c r="J107" s="9"/>
    </row>
    <row r="108" spans="1:10" s="3" customFormat="1" ht="24" x14ac:dyDescent="0.15">
      <c r="A108" s="7">
        <v>104</v>
      </c>
      <c r="B108" s="8">
        <v>4603</v>
      </c>
      <c r="C108" s="46" t="s">
        <v>1439</v>
      </c>
      <c r="D108" s="47" t="s">
        <v>1440</v>
      </c>
      <c r="E108" s="9" t="s">
        <v>1441</v>
      </c>
      <c r="F108" s="9" t="s">
        <v>1442</v>
      </c>
      <c r="G108" s="8" t="s">
        <v>219</v>
      </c>
      <c r="H108" s="23" t="s">
        <v>1443</v>
      </c>
      <c r="I108" s="11">
        <v>70</v>
      </c>
      <c r="J108" s="9"/>
    </row>
    <row r="109" spans="1:10" s="3" customFormat="1" ht="24" x14ac:dyDescent="0.15">
      <c r="A109" s="7">
        <v>105</v>
      </c>
      <c r="B109" s="8">
        <v>4731</v>
      </c>
      <c r="C109" s="46" t="s">
        <v>1444</v>
      </c>
      <c r="D109" s="47" t="s">
        <v>1445</v>
      </c>
      <c r="E109" s="9" t="s">
        <v>1446</v>
      </c>
      <c r="F109" s="9" t="s">
        <v>1447</v>
      </c>
      <c r="G109" s="8" t="s">
        <v>16</v>
      </c>
      <c r="H109" s="23" t="s">
        <v>1448</v>
      </c>
      <c r="I109" s="11">
        <v>80</v>
      </c>
      <c r="J109" s="9"/>
    </row>
    <row r="110" spans="1:10" s="3" customFormat="1" ht="24" x14ac:dyDescent="0.15">
      <c r="A110" s="7">
        <v>106</v>
      </c>
      <c r="B110" s="8">
        <v>5319</v>
      </c>
      <c r="C110" s="46" t="s">
        <v>1449</v>
      </c>
      <c r="D110" s="47" t="s">
        <v>1450</v>
      </c>
      <c r="E110" s="9" t="s">
        <v>1451</v>
      </c>
      <c r="F110" s="9" t="s">
        <v>1452</v>
      </c>
      <c r="G110" s="9" t="s">
        <v>218</v>
      </c>
      <c r="H110" s="23" t="s">
        <v>1453</v>
      </c>
      <c r="I110" s="11">
        <v>110</v>
      </c>
      <c r="J110" s="9"/>
    </row>
    <row r="111" spans="1:10" s="3" customFormat="1" ht="24" x14ac:dyDescent="0.15">
      <c r="A111" s="7">
        <v>107</v>
      </c>
      <c r="B111" s="8">
        <v>5320</v>
      </c>
      <c r="C111" s="46" t="s">
        <v>1454</v>
      </c>
      <c r="D111" s="47" t="s">
        <v>1455</v>
      </c>
      <c r="E111" s="9" t="s">
        <v>1456</v>
      </c>
      <c r="F111" s="9" t="s">
        <v>1456</v>
      </c>
      <c r="G111" s="9" t="s">
        <v>218</v>
      </c>
      <c r="H111" s="23" t="s">
        <v>1457</v>
      </c>
      <c r="I111" s="11">
        <v>85</v>
      </c>
      <c r="J111" s="9"/>
    </row>
    <row r="112" spans="1:10" s="3" customFormat="1" ht="13.5" x14ac:dyDescent="0.15">
      <c r="A112" s="7"/>
      <c r="B112" s="8"/>
      <c r="C112" s="9"/>
      <c r="D112" s="10"/>
      <c r="E112" s="9"/>
      <c r="F112" s="9"/>
      <c r="G112" s="10"/>
      <c r="H112" s="23"/>
      <c r="I112" s="11"/>
      <c r="J112" s="9"/>
    </row>
    <row r="113" spans="1:10" s="3" customFormat="1" ht="13.5" x14ac:dyDescent="0.15">
      <c r="A113" s="7"/>
      <c r="B113" s="8"/>
      <c r="C113" s="9"/>
      <c r="D113" s="10"/>
      <c r="E113" s="9"/>
      <c r="F113" s="9"/>
      <c r="G113" s="10"/>
      <c r="H113" s="23"/>
      <c r="I113" s="11"/>
      <c r="J113" s="9"/>
    </row>
    <row r="114" spans="1:10" s="3" customFormat="1" ht="22.5" customHeight="1" x14ac:dyDescent="0.15">
      <c r="A114" s="7"/>
      <c r="B114" s="8"/>
      <c r="C114" s="9"/>
      <c r="D114" s="11"/>
      <c r="E114" s="11"/>
      <c r="F114" s="11"/>
      <c r="G114" s="10"/>
      <c r="H114" s="12"/>
      <c r="I114" s="11"/>
      <c r="J114" s="9"/>
    </row>
    <row r="115" spans="1:10" s="3" customFormat="1" ht="22.5" customHeight="1" x14ac:dyDescent="0.15">
      <c r="A115" s="7"/>
      <c r="B115" s="14" t="s">
        <v>216</v>
      </c>
      <c r="C115" s="9" t="s">
        <v>217</v>
      </c>
      <c r="D115" s="11">
        <v>1</v>
      </c>
      <c r="E115" s="11">
        <f>COUNTIF(G:G,C115)</f>
        <v>0</v>
      </c>
      <c r="F115" s="11">
        <f t="shared" ref="F115:F123" si="0">D115+E115</f>
        <v>1</v>
      </c>
      <c r="G115" s="10"/>
      <c r="H115" s="12"/>
      <c r="I115" s="11"/>
      <c r="J115" s="9"/>
    </row>
    <row r="116" spans="1:10" ht="22.5" customHeight="1" x14ac:dyDescent="0.15">
      <c r="A116" s="6"/>
      <c r="B116" s="14" t="s">
        <v>216</v>
      </c>
      <c r="C116" s="9" t="s">
        <v>218</v>
      </c>
      <c r="D116" s="9">
        <v>975</v>
      </c>
      <c r="E116" s="11">
        <f>COUNTIF(G:G,C116)</f>
        <v>2</v>
      </c>
      <c r="F116" s="11">
        <f t="shared" si="0"/>
        <v>977</v>
      </c>
      <c r="G116" s="9"/>
      <c r="H116" s="9"/>
      <c r="I116" s="9"/>
      <c r="J116" s="16"/>
    </row>
    <row r="117" spans="1:10" ht="22.5" customHeight="1" x14ac:dyDescent="0.15">
      <c r="A117" s="6"/>
      <c r="B117" s="14" t="s">
        <v>216</v>
      </c>
      <c r="C117" s="8" t="s">
        <v>219</v>
      </c>
      <c r="D117" s="10">
        <v>406</v>
      </c>
      <c r="E117" s="11">
        <f>COUNTIF(G:G,C117)</f>
        <v>1</v>
      </c>
      <c r="F117" s="11">
        <f t="shared" si="0"/>
        <v>407</v>
      </c>
      <c r="G117" s="9"/>
      <c r="H117" s="9"/>
      <c r="I117" s="9"/>
      <c r="J117" s="16"/>
    </row>
    <row r="118" spans="1:10" ht="22.5" customHeight="1" x14ac:dyDescent="0.15">
      <c r="A118" s="6"/>
      <c r="B118" s="14" t="s">
        <v>216</v>
      </c>
      <c r="C118" s="8" t="s">
        <v>220</v>
      </c>
      <c r="D118" s="10">
        <v>83</v>
      </c>
      <c r="E118" s="11">
        <f>COUNTIF(G:G,"再就业")+COUNTIF(G:G,"小贷")</f>
        <v>0</v>
      </c>
      <c r="F118" s="11">
        <f t="shared" si="0"/>
        <v>83</v>
      </c>
      <c r="G118" s="10"/>
      <c r="H118" s="10"/>
      <c r="I118" s="11"/>
      <c r="J118" s="16"/>
    </row>
    <row r="119" spans="1:10" ht="22.5" customHeight="1" x14ac:dyDescent="0.15">
      <c r="A119" s="6"/>
      <c r="B119" s="14" t="s">
        <v>216</v>
      </c>
      <c r="C119" s="8" t="s">
        <v>221</v>
      </c>
      <c r="D119" s="10">
        <v>1</v>
      </c>
      <c r="E119" s="11">
        <f>COUNTIF(G:G,C119)</f>
        <v>0</v>
      </c>
      <c r="F119" s="11">
        <f t="shared" si="0"/>
        <v>1</v>
      </c>
      <c r="G119" s="10"/>
      <c r="H119" s="10"/>
      <c r="I119" s="11"/>
      <c r="J119" s="16"/>
    </row>
    <row r="120" spans="1:10" ht="22.5" customHeight="1" x14ac:dyDescent="0.15">
      <c r="A120" s="6"/>
      <c r="B120" s="14" t="s">
        <v>216</v>
      </c>
      <c r="C120" s="8" t="s">
        <v>16</v>
      </c>
      <c r="D120" s="10">
        <v>615</v>
      </c>
      <c r="E120" s="11">
        <f>COUNTIF(G:G,C120)</f>
        <v>1</v>
      </c>
      <c r="F120" s="11">
        <f t="shared" si="0"/>
        <v>616</v>
      </c>
      <c r="G120" s="10"/>
      <c r="H120" s="10"/>
      <c r="I120" s="11"/>
      <c r="J120" s="16"/>
    </row>
    <row r="121" spans="1:10" ht="22.5" customHeight="1" x14ac:dyDescent="0.15">
      <c r="A121" s="6"/>
      <c r="B121" s="14" t="s">
        <v>216</v>
      </c>
      <c r="C121" s="8" t="s">
        <v>49</v>
      </c>
      <c r="D121" s="10">
        <v>819</v>
      </c>
      <c r="E121" s="11">
        <f>COUNTIF(G:G,"*汽车*")</f>
        <v>103</v>
      </c>
      <c r="F121" s="11">
        <f t="shared" si="0"/>
        <v>922</v>
      </c>
      <c r="G121" s="10"/>
      <c r="H121" s="10"/>
      <c r="I121" s="11"/>
      <c r="J121" s="16"/>
    </row>
    <row r="122" spans="1:10" ht="22.5" customHeight="1" x14ac:dyDescent="0.15">
      <c r="A122" s="6"/>
      <c r="B122" s="14" t="s">
        <v>216</v>
      </c>
      <c r="C122" s="8" t="s">
        <v>21</v>
      </c>
      <c r="D122" s="10">
        <v>4513</v>
      </c>
      <c r="E122" s="11">
        <f>COUNTIF(G:G,C122)</f>
        <v>0</v>
      </c>
      <c r="F122" s="11">
        <f t="shared" si="0"/>
        <v>4513</v>
      </c>
      <c r="G122" s="10"/>
      <c r="H122" s="10"/>
      <c r="I122" s="11"/>
      <c r="J122" s="16"/>
    </row>
    <row r="123" spans="1:10" ht="22.5" customHeight="1" x14ac:dyDescent="0.15">
      <c r="A123" s="6"/>
      <c r="B123" s="14" t="s">
        <v>216</v>
      </c>
      <c r="C123" s="15" t="s">
        <v>222</v>
      </c>
      <c r="D123" s="16">
        <v>42</v>
      </c>
      <c r="E123" s="11">
        <f>COUNTIF(G:G,C123)</f>
        <v>0</v>
      </c>
      <c r="F123" s="11">
        <f t="shared" si="0"/>
        <v>42</v>
      </c>
      <c r="G123" s="16"/>
      <c r="H123" s="16"/>
      <c r="I123" s="14"/>
      <c r="J123" s="16"/>
    </row>
    <row r="124" spans="1:10" ht="22.5" customHeight="1" x14ac:dyDescent="0.15">
      <c r="A124" s="24"/>
      <c r="B124" s="24"/>
      <c r="C124" s="25"/>
      <c r="D124" s="26">
        <f t="shared" ref="D124:F124" si="1">SUM(D115:D123)</f>
        <v>7455</v>
      </c>
      <c r="E124" s="26">
        <f t="shared" si="1"/>
        <v>107</v>
      </c>
      <c r="F124" s="26">
        <f t="shared" si="1"/>
        <v>7562</v>
      </c>
      <c r="G124" s="19"/>
      <c r="H124" s="19"/>
      <c r="I124" s="18"/>
      <c r="J124" s="18"/>
    </row>
    <row r="125" spans="1:10" ht="39.950000000000003" customHeight="1" x14ac:dyDescent="0.15">
      <c r="A125" s="55" t="s">
        <v>223</v>
      </c>
      <c r="B125" s="55"/>
      <c r="C125" s="56"/>
      <c r="D125" s="55"/>
      <c r="E125" s="55"/>
      <c r="F125" s="57"/>
      <c r="G125" s="21"/>
      <c r="H125" s="22"/>
      <c r="I125" s="22"/>
      <c r="J125" s="22"/>
    </row>
    <row r="126" spans="1:10" ht="36.950000000000003" customHeight="1" x14ac:dyDescent="0.15">
      <c r="A126" s="58" t="s">
        <v>224</v>
      </c>
      <c r="B126" s="58"/>
      <c r="C126" s="27"/>
      <c r="D126" s="59" t="s">
        <v>225</v>
      </c>
      <c r="E126" s="57"/>
      <c r="F126" s="28"/>
      <c r="G126" s="21"/>
      <c r="H126" s="22"/>
      <c r="I126" s="22"/>
      <c r="J126" s="22"/>
    </row>
    <row r="127" spans="1:10" ht="36" customHeight="1" x14ac:dyDescent="0.15">
      <c r="A127" s="58" t="s">
        <v>226</v>
      </c>
      <c r="B127" s="58"/>
      <c r="C127" s="29"/>
      <c r="D127" s="59" t="s">
        <v>225</v>
      </c>
      <c r="E127" s="57"/>
      <c r="F127" s="30"/>
      <c r="G127" s="21"/>
      <c r="H127" s="22"/>
      <c r="I127" s="22"/>
      <c r="J127" s="22"/>
    </row>
    <row r="128" spans="1:10" ht="27" customHeight="1" x14ac:dyDescent="0.15">
      <c r="A128" s="58" t="s">
        <v>227</v>
      </c>
      <c r="B128" s="58"/>
      <c r="C128" s="29"/>
      <c r="D128" s="60" t="s">
        <v>225</v>
      </c>
      <c r="E128" s="61"/>
      <c r="F128" s="31"/>
      <c r="G128" s="32"/>
      <c r="H128" s="33"/>
      <c r="I128" s="33"/>
      <c r="J128" s="33"/>
    </row>
    <row r="129" spans="1:11" ht="30" customHeight="1" x14ac:dyDescent="0.15">
      <c r="A129" s="58" t="s">
        <v>227</v>
      </c>
      <c r="B129" s="58"/>
      <c r="C129" s="34"/>
      <c r="D129" s="60" t="s">
        <v>225</v>
      </c>
      <c r="E129" s="60"/>
      <c r="F129" s="6"/>
      <c r="G129" s="6"/>
      <c r="H129" s="5"/>
      <c r="I129" s="5"/>
      <c r="J129" s="35"/>
      <c r="K129" s="36"/>
    </row>
    <row r="130" spans="1:11" ht="22.5" customHeight="1" x14ac:dyDescent="0.15"/>
    <row r="164" spans="1:10" ht="13.5" x14ac:dyDescent="0.15">
      <c r="A164" s="62"/>
      <c r="B164" s="62"/>
      <c r="C164" s="63"/>
      <c r="D164" s="63"/>
      <c r="E164" s="63"/>
      <c r="F164" s="63"/>
      <c r="G164" s="63"/>
      <c r="H164" s="63"/>
      <c r="I164" s="63"/>
      <c r="J164" s="63"/>
    </row>
    <row r="165" spans="1:10" ht="13.5" x14ac:dyDescent="0.15">
      <c r="A165" s="62"/>
      <c r="B165" s="62"/>
      <c r="C165" s="63"/>
      <c r="D165" s="63"/>
      <c r="E165" s="63"/>
      <c r="F165" s="63"/>
      <c r="G165" s="63"/>
      <c r="H165" s="63"/>
      <c r="I165" s="63"/>
      <c r="J165" s="63"/>
    </row>
    <row r="166" spans="1:10" ht="13.5" x14ac:dyDescent="0.15">
      <c r="A166" s="62"/>
      <c r="B166" s="62"/>
      <c r="C166" s="63"/>
      <c r="D166" s="63"/>
      <c r="E166" s="63"/>
      <c r="F166" s="63"/>
      <c r="G166" s="63"/>
      <c r="H166" s="63"/>
      <c r="I166" s="63"/>
      <c r="J166" s="63"/>
    </row>
    <row r="167" spans="1:10" ht="13.5" x14ac:dyDescent="0.15">
      <c r="A167" s="62"/>
      <c r="B167" s="62"/>
      <c r="C167" s="63"/>
      <c r="D167" s="63"/>
      <c r="E167" s="63"/>
      <c r="F167" s="63"/>
      <c r="G167" s="63"/>
      <c r="H167" s="63"/>
      <c r="I167" s="63"/>
      <c r="J167" s="63"/>
    </row>
    <row r="168" spans="1:10" ht="13.5" x14ac:dyDescent="0.15">
      <c r="A168" s="62"/>
      <c r="B168" s="62"/>
      <c r="C168" s="63"/>
      <c r="D168" s="63"/>
      <c r="E168" s="63"/>
      <c r="F168" s="63"/>
      <c r="G168" s="63"/>
      <c r="H168" s="63"/>
      <c r="I168" s="63"/>
      <c r="J168" s="63"/>
    </row>
    <row r="169" spans="1:10" ht="13.5" x14ac:dyDescent="0.15">
      <c r="A169" s="62"/>
      <c r="B169" s="62"/>
      <c r="C169" s="63"/>
      <c r="D169" s="63"/>
      <c r="E169" s="63"/>
      <c r="F169" s="63"/>
      <c r="G169" s="63"/>
      <c r="H169" s="63"/>
      <c r="I169" s="63"/>
      <c r="J169" s="63"/>
    </row>
    <row r="170" spans="1:10" ht="13.5" x14ac:dyDescent="0.15">
      <c r="A170" s="62"/>
      <c r="B170" s="62"/>
      <c r="C170" s="63"/>
      <c r="D170" s="63"/>
      <c r="E170" s="63"/>
      <c r="F170" s="63"/>
      <c r="G170" s="63"/>
      <c r="H170" s="63"/>
      <c r="I170" s="63"/>
      <c r="J170" s="63"/>
    </row>
    <row r="171" spans="1:10" ht="13.5" x14ac:dyDescent="0.15">
      <c r="A171" s="62"/>
      <c r="B171" s="62"/>
      <c r="C171" s="63"/>
      <c r="D171" s="63"/>
      <c r="E171" s="63"/>
      <c r="F171" s="63"/>
      <c r="G171" s="63"/>
      <c r="H171" s="63"/>
      <c r="I171" s="63"/>
      <c r="J171" s="63"/>
    </row>
    <row r="172" spans="1:10" ht="13.5" x14ac:dyDescent="0.15">
      <c r="A172" s="62"/>
      <c r="B172" s="62"/>
      <c r="C172" s="63"/>
      <c r="D172" s="63"/>
      <c r="E172" s="62"/>
      <c r="F172" s="63"/>
      <c r="G172" s="63"/>
      <c r="H172" s="62"/>
      <c r="I172" s="62"/>
      <c r="J172" s="62"/>
    </row>
  </sheetData>
  <autoFilter ref="B4:I111" xr:uid="{00000000-0009-0000-0000-000006000000}"/>
  <mergeCells count="18">
    <mergeCell ref="A172:J172"/>
    <mergeCell ref="A164:B171"/>
    <mergeCell ref="C164:J165"/>
    <mergeCell ref="C166:J167"/>
    <mergeCell ref="C168:J169"/>
    <mergeCell ref="C170:J171"/>
    <mergeCell ref="A127:B127"/>
    <mergeCell ref="D127:E127"/>
    <mergeCell ref="A128:B128"/>
    <mergeCell ref="D128:E128"/>
    <mergeCell ref="A129:B129"/>
    <mergeCell ref="D129:E129"/>
    <mergeCell ref="A1:J1"/>
    <mergeCell ref="A2:J2"/>
    <mergeCell ref="A3:J3"/>
    <mergeCell ref="A125:F125"/>
    <mergeCell ref="A126:B126"/>
    <mergeCell ref="D126:E126"/>
  </mergeCells>
  <phoneticPr fontId="11" type="noConversion"/>
  <dataValidations count="1">
    <dataValidation type="list" allowBlank="1" showInputMessage="1" showErrorMessage="1" sqref="J116:J120 J121:J123" xr:uid="{00000000-0002-0000-0600-000000000000}">
      <formula1>$U$2:$U$3</formula1>
    </dataValidation>
  </dataValidations>
  <pageMargins left="0.70069444444444495" right="0.70069444444444495" top="0.75138888888888899" bottom="0.75138888888888899" header="0.29861111111111099" footer="0.29861111111111099"/>
  <pageSetup paperSize="9" scale="79" fitToHeight="0" orientation="portrait" r:id="rId1"/>
  <headerFooter>
    <oddFooter>&amp;C第 &amp;P 页，共 &amp;N 页</oddFooter>
  </headerFooter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K72"/>
  <sheetViews>
    <sheetView view="pageBreakPreview" zoomScaleNormal="100" workbookViewId="0">
      <selection activeCell="B13" sqref="B13"/>
    </sheetView>
  </sheetViews>
  <sheetFormatPr defaultColWidth="9" defaultRowHeight="23.25" customHeight="1" x14ac:dyDescent="0.15"/>
  <cols>
    <col min="1" max="1" width="6.25" style="2" customWidth="1"/>
    <col min="2" max="2" width="7.625" style="2" customWidth="1"/>
    <col min="3" max="3" width="13" style="4" customWidth="1"/>
    <col min="4" max="4" width="13.25" style="4" customWidth="1"/>
    <col min="5" max="5" width="14.375" style="2" customWidth="1"/>
    <col min="6" max="6" width="11.5" style="4"/>
    <col min="7" max="7" width="8.125" style="4" customWidth="1"/>
    <col min="8" max="8" width="18.125" style="2" customWidth="1"/>
    <col min="9" max="9" width="13.12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9" t="s">
        <v>9</v>
      </c>
      <c r="H4" s="38" t="s">
        <v>10</v>
      </c>
      <c r="I4" s="38" t="s">
        <v>11</v>
      </c>
      <c r="J4" s="37" t="s">
        <v>12</v>
      </c>
    </row>
    <row r="5" spans="1:10" s="3" customFormat="1" ht="30" customHeight="1" x14ac:dyDescent="0.15">
      <c r="A5" s="7">
        <v>1</v>
      </c>
      <c r="B5" s="8">
        <v>121</v>
      </c>
      <c r="C5" s="46" t="s">
        <v>1458</v>
      </c>
      <c r="D5" s="47" t="s">
        <v>1459</v>
      </c>
      <c r="E5" s="9" t="s">
        <v>1460</v>
      </c>
      <c r="F5" s="9" t="s">
        <v>1461</v>
      </c>
      <c r="G5" s="10" t="s">
        <v>222</v>
      </c>
      <c r="H5" s="23" t="s">
        <v>1462</v>
      </c>
      <c r="I5" s="11">
        <v>749.3</v>
      </c>
      <c r="J5" s="9"/>
    </row>
    <row r="6" spans="1:10" s="3" customFormat="1" ht="30" customHeight="1" x14ac:dyDescent="0.15">
      <c r="A6" s="7">
        <v>2</v>
      </c>
      <c r="B6" s="8">
        <v>4602</v>
      </c>
      <c r="C6" s="46" t="s">
        <v>1463</v>
      </c>
      <c r="D6" s="10" t="s">
        <v>1464</v>
      </c>
      <c r="E6" s="10" t="s">
        <v>1465</v>
      </c>
      <c r="F6" s="10" t="s">
        <v>1466</v>
      </c>
      <c r="G6" s="10" t="s">
        <v>219</v>
      </c>
      <c r="H6" s="23" t="s">
        <v>1467</v>
      </c>
      <c r="I6" s="10">
        <v>51</v>
      </c>
      <c r="J6" s="9"/>
    </row>
    <row r="7" spans="1:10" s="3" customFormat="1" ht="30" customHeight="1" x14ac:dyDescent="0.15">
      <c r="A7" s="7">
        <v>3</v>
      </c>
      <c r="B7" s="8">
        <v>15091</v>
      </c>
      <c r="C7" s="46" t="s">
        <v>1468</v>
      </c>
      <c r="D7" s="10" t="s">
        <v>1469</v>
      </c>
      <c r="E7" s="9" t="s">
        <v>1470</v>
      </c>
      <c r="F7" s="9" t="s">
        <v>1470</v>
      </c>
      <c r="G7" s="10" t="s">
        <v>21</v>
      </c>
      <c r="H7" s="23" t="s">
        <v>1471</v>
      </c>
      <c r="I7" s="11">
        <v>54</v>
      </c>
      <c r="J7" s="9"/>
    </row>
    <row r="8" spans="1:10" s="3" customFormat="1" ht="30" customHeight="1" x14ac:dyDescent="0.15">
      <c r="A8" s="7">
        <v>4</v>
      </c>
      <c r="B8" s="8">
        <v>15092</v>
      </c>
      <c r="C8" s="46" t="s">
        <v>1472</v>
      </c>
      <c r="D8" s="10" t="s">
        <v>1473</v>
      </c>
      <c r="E8" s="9" t="s">
        <v>1474</v>
      </c>
      <c r="F8" s="9" t="s">
        <v>1474</v>
      </c>
      <c r="G8" s="10" t="s">
        <v>21</v>
      </c>
      <c r="H8" s="23" t="s">
        <v>1475</v>
      </c>
      <c r="I8" s="11">
        <v>56</v>
      </c>
      <c r="J8" s="9"/>
    </row>
    <row r="9" spans="1:10" s="3" customFormat="1" ht="30" customHeight="1" x14ac:dyDescent="0.15">
      <c r="A9" s="7">
        <v>5</v>
      </c>
      <c r="B9" s="8">
        <v>15093</v>
      </c>
      <c r="C9" s="46" t="s">
        <v>1476</v>
      </c>
      <c r="D9" s="10" t="s">
        <v>1477</v>
      </c>
      <c r="E9" s="9" t="s">
        <v>1478</v>
      </c>
      <c r="F9" s="9" t="s">
        <v>1479</v>
      </c>
      <c r="G9" s="10" t="s">
        <v>21</v>
      </c>
      <c r="H9" s="23" t="s">
        <v>1480</v>
      </c>
      <c r="I9" s="11">
        <v>29</v>
      </c>
      <c r="J9" s="9"/>
    </row>
    <row r="10" spans="1:10" s="3" customFormat="1" ht="30" customHeight="1" x14ac:dyDescent="0.15">
      <c r="A10" s="7">
        <v>6</v>
      </c>
      <c r="B10" s="8">
        <v>15094</v>
      </c>
      <c r="C10" s="46" t="s">
        <v>1481</v>
      </c>
      <c r="D10" s="10" t="s">
        <v>1482</v>
      </c>
      <c r="E10" s="9" t="s">
        <v>1483</v>
      </c>
      <c r="F10" s="9" t="s">
        <v>1484</v>
      </c>
      <c r="G10" s="10" t="s">
        <v>21</v>
      </c>
      <c r="H10" s="23" t="s">
        <v>1485</v>
      </c>
      <c r="I10" s="11">
        <v>52</v>
      </c>
      <c r="J10" s="9"/>
    </row>
    <row r="11" spans="1:10" s="3" customFormat="1" ht="24" x14ac:dyDescent="0.15">
      <c r="A11" s="7">
        <v>7</v>
      </c>
      <c r="B11" s="8">
        <v>15095</v>
      </c>
      <c r="C11" s="46" t="s">
        <v>1486</v>
      </c>
      <c r="D11" s="10" t="s">
        <v>1487</v>
      </c>
      <c r="E11" s="10" t="s">
        <v>1488</v>
      </c>
      <c r="F11" s="10" t="s">
        <v>1489</v>
      </c>
      <c r="G11" s="10" t="s">
        <v>21</v>
      </c>
      <c r="H11" s="23" t="s">
        <v>1490</v>
      </c>
      <c r="I11" s="11">
        <v>57</v>
      </c>
      <c r="J11" s="9"/>
    </row>
    <row r="12" spans="1:10" s="3" customFormat="1" ht="24" x14ac:dyDescent="0.15">
      <c r="A12" s="7">
        <v>8</v>
      </c>
      <c r="B12" s="8">
        <v>15096</v>
      </c>
      <c r="C12" s="46" t="s">
        <v>1491</v>
      </c>
      <c r="D12" s="10" t="s">
        <v>1492</v>
      </c>
      <c r="E12" s="9" t="s">
        <v>1493</v>
      </c>
      <c r="F12" s="9" t="s">
        <v>1494</v>
      </c>
      <c r="G12" s="10" t="s">
        <v>21</v>
      </c>
      <c r="H12" s="23" t="s">
        <v>1495</v>
      </c>
      <c r="I12" s="11">
        <v>49</v>
      </c>
      <c r="J12" s="9"/>
    </row>
    <row r="13" spans="1:10" s="3" customFormat="1" ht="24" x14ac:dyDescent="0.15">
      <c r="A13" s="7">
        <v>9</v>
      </c>
      <c r="B13" s="8">
        <v>15097</v>
      </c>
      <c r="C13" s="46" t="s">
        <v>1496</v>
      </c>
      <c r="D13" s="10" t="s">
        <v>1497</v>
      </c>
      <c r="E13" s="9" t="s">
        <v>1498</v>
      </c>
      <c r="F13" s="9" t="s">
        <v>1499</v>
      </c>
      <c r="G13" s="10" t="s">
        <v>21</v>
      </c>
      <c r="H13" s="23" t="s">
        <v>1500</v>
      </c>
      <c r="I13" s="11">
        <v>58</v>
      </c>
      <c r="J13" s="9"/>
    </row>
    <row r="14" spans="1:10" s="3" customFormat="1" ht="22.5" customHeight="1" x14ac:dyDescent="0.15">
      <c r="A14" s="7"/>
      <c r="B14" s="8"/>
      <c r="C14" s="9"/>
      <c r="D14" s="11"/>
      <c r="E14" s="11"/>
      <c r="F14" s="11"/>
      <c r="G14" s="10"/>
      <c r="H14" s="12"/>
      <c r="I14" s="11"/>
      <c r="J14" s="9"/>
    </row>
    <row r="15" spans="1:10" s="3" customFormat="1" ht="22.5" customHeight="1" x14ac:dyDescent="0.15">
      <c r="A15" s="7"/>
      <c r="B15" s="14" t="s">
        <v>216</v>
      </c>
      <c r="C15" s="9" t="s">
        <v>217</v>
      </c>
      <c r="D15" s="11">
        <v>1</v>
      </c>
      <c r="E15" s="11">
        <f>COUNTIF(G:G,C15)</f>
        <v>0</v>
      </c>
      <c r="F15" s="11">
        <f t="shared" ref="F15:F23" si="0">D15+E15</f>
        <v>1</v>
      </c>
      <c r="G15" s="10"/>
      <c r="H15" s="12"/>
      <c r="I15" s="11"/>
      <c r="J15" s="9"/>
    </row>
    <row r="16" spans="1:10" ht="22.5" customHeight="1" x14ac:dyDescent="0.15">
      <c r="A16" s="6"/>
      <c r="B16" s="14" t="s">
        <v>216</v>
      </c>
      <c r="C16" s="9" t="s">
        <v>218</v>
      </c>
      <c r="D16" s="9">
        <v>975</v>
      </c>
      <c r="E16" s="11">
        <f>COUNTIF(G:G,C16)</f>
        <v>0</v>
      </c>
      <c r="F16" s="11">
        <f t="shared" si="0"/>
        <v>975</v>
      </c>
      <c r="G16" s="9"/>
      <c r="H16" s="9"/>
      <c r="I16" s="9"/>
      <c r="J16" s="16"/>
    </row>
    <row r="17" spans="1:11" ht="22.5" customHeight="1" x14ac:dyDescent="0.15">
      <c r="A17" s="6"/>
      <c r="B17" s="14" t="s">
        <v>216</v>
      </c>
      <c r="C17" s="8" t="s">
        <v>219</v>
      </c>
      <c r="D17" s="10">
        <v>405</v>
      </c>
      <c r="E17" s="11">
        <f>COUNTIF(G:G,C17)</f>
        <v>1</v>
      </c>
      <c r="F17" s="11">
        <f t="shared" si="0"/>
        <v>406</v>
      </c>
      <c r="G17" s="9"/>
      <c r="H17" s="9"/>
      <c r="I17" s="9"/>
      <c r="J17" s="16"/>
    </row>
    <row r="18" spans="1:11" ht="22.5" customHeight="1" x14ac:dyDescent="0.15">
      <c r="A18" s="6"/>
      <c r="B18" s="14" t="s">
        <v>216</v>
      </c>
      <c r="C18" s="8" t="s">
        <v>220</v>
      </c>
      <c r="D18" s="10">
        <v>83</v>
      </c>
      <c r="E18" s="11">
        <f>COUNTIF(G:G,"再就业")+COUNTIF(G:G,"小贷")</f>
        <v>0</v>
      </c>
      <c r="F18" s="11">
        <f t="shared" si="0"/>
        <v>83</v>
      </c>
      <c r="G18" s="10"/>
      <c r="H18" s="10"/>
      <c r="I18" s="11"/>
      <c r="J18" s="16"/>
    </row>
    <row r="19" spans="1:11" ht="22.5" customHeight="1" x14ac:dyDescent="0.15">
      <c r="A19" s="6"/>
      <c r="B19" s="14" t="s">
        <v>216</v>
      </c>
      <c r="C19" s="8" t="s">
        <v>221</v>
      </c>
      <c r="D19" s="10">
        <v>1</v>
      </c>
      <c r="E19" s="11">
        <f>COUNTIF(G:G,C19)</f>
        <v>0</v>
      </c>
      <c r="F19" s="11">
        <f t="shared" si="0"/>
        <v>1</v>
      </c>
      <c r="G19" s="10"/>
      <c r="H19" s="10"/>
      <c r="I19" s="11"/>
      <c r="J19" s="16"/>
    </row>
    <row r="20" spans="1:11" ht="22.5" customHeight="1" x14ac:dyDescent="0.15">
      <c r="A20" s="6"/>
      <c r="B20" s="14" t="s">
        <v>216</v>
      </c>
      <c r="C20" s="8" t="s">
        <v>16</v>
      </c>
      <c r="D20" s="10">
        <v>615</v>
      </c>
      <c r="E20" s="11">
        <f>COUNTIF(G:G,C20)</f>
        <v>0</v>
      </c>
      <c r="F20" s="11">
        <f t="shared" si="0"/>
        <v>615</v>
      </c>
      <c r="G20" s="10"/>
      <c r="H20" s="10"/>
      <c r="I20" s="11"/>
      <c r="J20" s="16"/>
    </row>
    <row r="21" spans="1:11" ht="22.5" customHeight="1" x14ac:dyDescent="0.15">
      <c r="A21" s="6"/>
      <c r="B21" s="14" t="s">
        <v>216</v>
      </c>
      <c r="C21" s="8" t="s">
        <v>49</v>
      </c>
      <c r="D21" s="10">
        <v>819</v>
      </c>
      <c r="E21" s="11">
        <f>COUNTIF(G:G,C21)</f>
        <v>0</v>
      </c>
      <c r="F21" s="11">
        <f t="shared" si="0"/>
        <v>819</v>
      </c>
      <c r="G21" s="10"/>
      <c r="H21" s="10"/>
      <c r="I21" s="11"/>
      <c r="J21" s="16"/>
    </row>
    <row r="22" spans="1:11" ht="22.5" customHeight="1" x14ac:dyDescent="0.15">
      <c r="A22" s="6"/>
      <c r="B22" s="14" t="s">
        <v>216</v>
      </c>
      <c r="C22" s="8" t="s">
        <v>21</v>
      </c>
      <c r="D22" s="10">
        <v>4506</v>
      </c>
      <c r="E22" s="11">
        <f>COUNTIF(G:G,C22)</f>
        <v>7</v>
      </c>
      <c r="F22" s="11">
        <f t="shared" si="0"/>
        <v>4513</v>
      </c>
      <c r="G22" s="10"/>
      <c r="H22" s="10"/>
      <c r="I22" s="11"/>
      <c r="J22" s="16"/>
    </row>
    <row r="23" spans="1:11" ht="22.5" customHeight="1" x14ac:dyDescent="0.15">
      <c r="A23" s="6"/>
      <c r="B23" s="14" t="s">
        <v>216</v>
      </c>
      <c r="C23" s="15" t="s">
        <v>222</v>
      </c>
      <c r="D23" s="16">
        <v>41</v>
      </c>
      <c r="E23" s="11">
        <f>COUNTIF(G:G,C23)</f>
        <v>1</v>
      </c>
      <c r="F23" s="11">
        <f t="shared" si="0"/>
        <v>42</v>
      </c>
      <c r="G23" s="16"/>
      <c r="H23" s="16"/>
      <c r="I23" s="14"/>
      <c r="J23" s="16"/>
    </row>
    <row r="24" spans="1:11" ht="22.5" customHeight="1" x14ac:dyDescent="0.15">
      <c r="A24" s="24"/>
      <c r="B24" s="24"/>
      <c r="C24" s="25"/>
      <c r="D24" s="26">
        <f t="shared" ref="D24:F24" si="1">SUM(D15:D23)</f>
        <v>7446</v>
      </c>
      <c r="E24" s="26">
        <f t="shared" si="1"/>
        <v>9</v>
      </c>
      <c r="F24" s="26">
        <f t="shared" si="1"/>
        <v>7455</v>
      </c>
      <c r="G24" s="19"/>
      <c r="H24" s="19"/>
      <c r="I24" s="18"/>
      <c r="J24" s="18"/>
    </row>
    <row r="25" spans="1:11" ht="39.950000000000003" customHeight="1" x14ac:dyDescent="0.15">
      <c r="A25" s="58" t="s">
        <v>223</v>
      </c>
      <c r="B25" s="58"/>
      <c r="C25" s="58"/>
      <c r="D25" s="58"/>
      <c r="E25" s="58"/>
      <c r="F25" s="58"/>
      <c r="G25" s="21"/>
      <c r="H25" s="22"/>
      <c r="I25" s="22"/>
      <c r="J25" s="22"/>
    </row>
    <row r="26" spans="1:11" ht="36.950000000000003" customHeight="1" x14ac:dyDescent="0.15">
      <c r="A26" s="64" t="s">
        <v>224</v>
      </c>
      <c r="B26" s="65"/>
      <c r="C26" s="27"/>
      <c r="D26" s="60" t="s">
        <v>225</v>
      </c>
      <c r="E26" s="61"/>
      <c r="F26" s="28"/>
      <c r="G26" s="21"/>
      <c r="H26" s="22"/>
      <c r="I26" s="22"/>
      <c r="J26" s="22"/>
    </row>
    <row r="27" spans="1:11" ht="36" customHeight="1" x14ac:dyDescent="0.15">
      <c r="A27" s="59" t="s">
        <v>226</v>
      </c>
      <c r="B27" s="57"/>
      <c r="C27" s="29"/>
      <c r="D27" s="59" t="s">
        <v>225</v>
      </c>
      <c r="E27" s="57"/>
      <c r="F27" s="30"/>
      <c r="G27" s="21"/>
      <c r="H27" s="22"/>
      <c r="I27" s="22"/>
      <c r="J27" s="22"/>
    </row>
    <row r="28" spans="1:11" ht="27" customHeight="1" x14ac:dyDescent="0.15">
      <c r="A28" s="60" t="s">
        <v>227</v>
      </c>
      <c r="B28" s="61"/>
      <c r="C28" s="29"/>
      <c r="D28" s="60" t="s">
        <v>225</v>
      </c>
      <c r="E28" s="61"/>
      <c r="F28" s="31"/>
      <c r="G28" s="32"/>
      <c r="H28" s="33"/>
      <c r="I28" s="33"/>
      <c r="J28" s="33"/>
    </row>
    <row r="29" spans="1:11" ht="30" customHeight="1" x14ac:dyDescent="0.15">
      <c r="A29" s="60" t="s">
        <v>227</v>
      </c>
      <c r="B29" s="61"/>
      <c r="C29" s="34"/>
      <c r="D29" s="60" t="s">
        <v>225</v>
      </c>
      <c r="E29" s="60"/>
      <c r="F29" s="6"/>
      <c r="G29" s="6"/>
      <c r="H29" s="5"/>
      <c r="I29" s="5"/>
      <c r="J29" s="35"/>
      <c r="K29" s="36"/>
    </row>
    <row r="30" spans="1:11" ht="22.5" customHeight="1" x14ac:dyDescent="0.15"/>
    <row r="64" spans="5:10" ht="13.5" x14ac:dyDescent="0.15">
      <c r="E64" s="4"/>
      <c r="H64" s="4"/>
      <c r="I64" s="4"/>
      <c r="J64" s="4"/>
    </row>
    <row r="65" spans="5:10" ht="13.5" x14ac:dyDescent="0.15">
      <c r="E65" s="4"/>
      <c r="H65" s="4"/>
      <c r="I65" s="4"/>
      <c r="J65" s="4"/>
    </row>
    <row r="66" spans="5:10" ht="13.5" x14ac:dyDescent="0.15">
      <c r="E66" s="4"/>
      <c r="H66" s="4"/>
      <c r="I66" s="4"/>
      <c r="J66" s="4"/>
    </row>
    <row r="67" spans="5:10" ht="13.5" x14ac:dyDescent="0.15">
      <c r="E67" s="4"/>
      <c r="H67" s="4"/>
      <c r="I67" s="4"/>
      <c r="J67" s="4"/>
    </row>
    <row r="68" spans="5:10" ht="13.5" x14ac:dyDescent="0.15">
      <c r="E68" s="4"/>
      <c r="H68" s="4"/>
      <c r="I68" s="4"/>
      <c r="J68" s="4"/>
    </row>
    <row r="69" spans="5:10" ht="13.5" x14ac:dyDescent="0.15">
      <c r="E69" s="4"/>
      <c r="H69" s="4"/>
      <c r="I69" s="4"/>
      <c r="J69" s="4"/>
    </row>
    <row r="70" spans="5:10" ht="13.5" x14ac:dyDescent="0.15">
      <c r="E70" s="4"/>
      <c r="H70" s="4"/>
      <c r="I70" s="4"/>
      <c r="J70" s="4"/>
    </row>
    <row r="71" spans="5:10" ht="13.5" x14ac:dyDescent="0.15">
      <c r="E71" s="4"/>
      <c r="H71" s="4"/>
      <c r="I71" s="4"/>
      <c r="J71" s="4"/>
    </row>
    <row r="72" spans="5:10" ht="13.5" x14ac:dyDescent="0.15"/>
  </sheetData>
  <mergeCells count="12">
    <mergeCell ref="A27:B27"/>
    <mergeCell ref="D27:E27"/>
    <mergeCell ref="A28:B28"/>
    <mergeCell ref="D28:E28"/>
    <mergeCell ref="A29:B29"/>
    <mergeCell ref="D29:E29"/>
    <mergeCell ref="A1:J1"/>
    <mergeCell ref="A2:J2"/>
    <mergeCell ref="A3:J3"/>
    <mergeCell ref="A25:F25"/>
    <mergeCell ref="A26:B26"/>
    <mergeCell ref="D26:E26"/>
  </mergeCells>
  <phoneticPr fontId="11" type="noConversion"/>
  <dataValidations count="1">
    <dataValidation type="list" allowBlank="1" showInputMessage="1" showErrorMessage="1" sqref="J16:J20 J21:J23" xr:uid="{00000000-0002-0000-0700-000000000000}">
      <formula1>$U$2:$U$3</formula1>
    </dataValidation>
  </dataValidations>
  <pageMargins left="0.7" right="0.7" top="0.75" bottom="0.75" header="0.3" footer="0.3"/>
  <pageSetup paperSize="9" scale="79" fitToHeight="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K72"/>
  <sheetViews>
    <sheetView view="pageBreakPreview" zoomScaleNormal="100" workbookViewId="0">
      <selection activeCell="B9" sqref="B9"/>
    </sheetView>
  </sheetViews>
  <sheetFormatPr defaultColWidth="9" defaultRowHeight="23.25" customHeight="1" x14ac:dyDescent="0.15"/>
  <cols>
    <col min="1" max="1" width="5.875" style="2" customWidth="1"/>
    <col min="2" max="2" width="7.625" style="2" customWidth="1"/>
    <col min="3" max="3" width="13" style="4" customWidth="1"/>
    <col min="4" max="4" width="13.25" style="4" customWidth="1"/>
    <col min="5" max="5" width="14.375" style="2" customWidth="1"/>
    <col min="6" max="6" width="11.5" style="4"/>
    <col min="7" max="7" width="8.125" style="4" customWidth="1"/>
    <col min="8" max="8" width="18.125" style="2" customWidth="1"/>
    <col min="9" max="9" width="13.12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37" t="s">
        <v>3</v>
      </c>
      <c r="B4" s="38" t="s">
        <v>4</v>
      </c>
      <c r="C4" s="38" t="s">
        <v>5</v>
      </c>
      <c r="D4" s="38" t="s">
        <v>6</v>
      </c>
      <c r="E4" s="38" t="s">
        <v>7</v>
      </c>
      <c r="F4" s="38" t="s">
        <v>8</v>
      </c>
      <c r="G4" s="39" t="s">
        <v>9</v>
      </c>
      <c r="H4" s="38" t="s">
        <v>10</v>
      </c>
      <c r="I4" s="38" t="s">
        <v>11</v>
      </c>
      <c r="J4" s="37" t="s">
        <v>12</v>
      </c>
    </row>
    <row r="5" spans="1:10" s="3" customFormat="1" ht="30" customHeight="1" x14ac:dyDescent="0.15">
      <c r="A5" s="7">
        <v>1</v>
      </c>
      <c r="B5" s="8">
        <v>120</v>
      </c>
      <c r="C5" s="46" t="s">
        <v>1501</v>
      </c>
      <c r="D5" s="47" t="s">
        <v>1502</v>
      </c>
      <c r="E5" s="10" t="s">
        <v>1503</v>
      </c>
      <c r="F5" s="10" t="s">
        <v>1504</v>
      </c>
      <c r="G5" s="10" t="s">
        <v>222</v>
      </c>
      <c r="H5" s="23" t="s">
        <v>1505</v>
      </c>
      <c r="I5" s="10">
        <v>255.9</v>
      </c>
      <c r="J5" s="9"/>
    </row>
    <row r="6" spans="1:10" s="3" customFormat="1" ht="30" customHeight="1" x14ac:dyDescent="0.15">
      <c r="A6" s="7">
        <v>2</v>
      </c>
      <c r="B6" s="8">
        <v>4727</v>
      </c>
      <c r="C6" s="46" t="s">
        <v>1506</v>
      </c>
      <c r="D6" s="47" t="s">
        <v>1507</v>
      </c>
      <c r="E6" s="9" t="s">
        <v>1508</v>
      </c>
      <c r="F6" s="9" t="s">
        <v>1509</v>
      </c>
      <c r="G6" s="10" t="s">
        <v>16</v>
      </c>
      <c r="H6" s="23" t="s">
        <v>1510</v>
      </c>
      <c r="I6" s="11">
        <v>70</v>
      </c>
      <c r="J6" s="9"/>
    </row>
    <row r="7" spans="1:10" s="3" customFormat="1" ht="30" customHeight="1" x14ac:dyDescent="0.15">
      <c r="A7" s="7">
        <v>3</v>
      </c>
      <c r="B7" s="8">
        <v>4728</v>
      </c>
      <c r="C7" s="46" t="s">
        <v>1511</v>
      </c>
      <c r="D7" s="47" t="s">
        <v>1512</v>
      </c>
      <c r="E7" s="9" t="s">
        <v>1513</v>
      </c>
      <c r="F7" s="9" t="s">
        <v>1513</v>
      </c>
      <c r="G7" s="10" t="s">
        <v>16</v>
      </c>
      <c r="H7" s="23" t="s">
        <v>1514</v>
      </c>
      <c r="I7" s="11">
        <v>50</v>
      </c>
      <c r="J7" s="9"/>
    </row>
    <row r="8" spans="1:10" s="3" customFormat="1" ht="30" customHeight="1" x14ac:dyDescent="0.15">
      <c r="A8" s="7">
        <v>4</v>
      </c>
      <c r="B8" s="8">
        <v>4729</v>
      </c>
      <c r="C8" s="46" t="s">
        <v>1515</v>
      </c>
      <c r="D8" s="47" t="s">
        <v>1516</v>
      </c>
      <c r="E8" s="9" t="s">
        <v>1517</v>
      </c>
      <c r="F8" s="9" t="s">
        <v>1518</v>
      </c>
      <c r="G8" s="10" t="s">
        <v>16</v>
      </c>
      <c r="H8" s="23" t="s">
        <v>1519</v>
      </c>
      <c r="I8" s="11">
        <v>60</v>
      </c>
      <c r="J8" s="9"/>
    </row>
    <row r="9" spans="1:10" s="3" customFormat="1" ht="30" customHeight="1" x14ac:dyDescent="0.15">
      <c r="A9" s="7">
        <v>5</v>
      </c>
      <c r="B9" s="8">
        <v>4730</v>
      </c>
      <c r="C9" s="46" t="s">
        <v>1520</v>
      </c>
      <c r="D9" s="10" t="s">
        <v>1521</v>
      </c>
      <c r="E9" s="9" t="s">
        <v>1522</v>
      </c>
      <c r="F9" s="9" t="s">
        <v>1522</v>
      </c>
      <c r="G9" s="10" t="s">
        <v>16</v>
      </c>
      <c r="H9" s="23" t="s">
        <v>1523</v>
      </c>
      <c r="I9" s="11">
        <v>28</v>
      </c>
      <c r="J9" s="9"/>
    </row>
    <row r="10" spans="1:10" s="3" customFormat="1" ht="30" customHeight="1" x14ac:dyDescent="0.15">
      <c r="A10" s="7">
        <v>6</v>
      </c>
      <c r="B10" s="8">
        <v>5316</v>
      </c>
      <c r="C10" s="46" t="s">
        <v>1524</v>
      </c>
      <c r="D10" s="10" t="s">
        <v>1525</v>
      </c>
      <c r="E10" s="10" t="s">
        <v>1526</v>
      </c>
      <c r="F10" s="10" t="s">
        <v>1526</v>
      </c>
      <c r="G10" s="10" t="s">
        <v>218</v>
      </c>
      <c r="H10" s="23" t="s">
        <v>1527</v>
      </c>
      <c r="I10" s="11">
        <v>73</v>
      </c>
      <c r="J10" s="9"/>
    </row>
    <row r="11" spans="1:10" s="3" customFormat="1" ht="24" x14ac:dyDescent="0.15">
      <c r="A11" s="7">
        <v>7</v>
      </c>
      <c r="B11" s="8">
        <v>5317</v>
      </c>
      <c r="C11" s="46" t="s">
        <v>1528</v>
      </c>
      <c r="D11" s="47" t="s">
        <v>1529</v>
      </c>
      <c r="E11" s="9" t="s">
        <v>1530</v>
      </c>
      <c r="F11" s="9" t="s">
        <v>1531</v>
      </c>
      <c r="G11" s="10" t="s">
        <v>218</v>
      </c>
      <c r="H11" s="23" t="s">
        <v>1532</v>
      </c>
      <c r="I11" s="11">
        <v>48</v>
      </c>
      <c r="J11" s="9"/>
    </row>
    <row r="12" spans="1:10" s="3" customFormat="1" ht="24" x14ac:dyDescent="0.15">
      <c r="A12" s="7">
        <v>8</v>
      </c>
      <c r="B12" s="8">
        <v>5318</v>
      </c>
      <c r="C12" s="46" t="s">
        <v>1533</v>
      </c>
      <c r="D12" s="10" t="s">
        <v>1534</v>
      </c>
      <c r="E12" s="9" t="s">
        <v>1535</v>
      </c>
      <c r="F12" s="9" t="s">
        <v>1535</v>
      </c>
      <c r="G12" s="10" t="s">
        <v>218</v>
      </c>
      <c r="H12" s="23" t="s">
        <v>1536</v>
      </c>
      <c r="I12" s="11">
        <v>90</v>
      </c>
      <c r="J12" s="9"/>
    </row>
    <row r="13" spans="1:10" s="3" customFormat="1" ht="24" x14ac:dyDescent="0.15">
      <c r="A13" s="7">
        <v>9</v>
      </c>
      <c r="B13" s="8">
        <v>15090</v>
      </c>
      <c r="C13" s="46" t="s">
        <v>1537</v>
      </c>
      <c r="D13" s="10" t="s">
        <v>1538</v>
      </c>
      <c r="E13" s="9" t="s">
        <v>1539</v>
      </c>
      <c r="F13" s="9" t="s">
        <v>1539</v>
      </c>
      <c r="G13" s="10" t="s">
        <v>21</v>
      </c>
      <c r="H13" s="23" t="s">
        <v>1540</v>
      </c>
      <c r="I13" s="11">
        <v>42.2</v>
      </c>
      <c r="J13" s="9"/>
    </row>
    <row r="14" spans="1:10" s="3" customFormat="1" ht="22.5" customHeight="1" x14ac:dyDescent="0.15">
      <c r="A14" s="7"/>
      <c r="B14" s="8"/>
      <c r="C14" s="9"/>
      <c r="D14" s="11"/>
      <c r="E14" s="11"/>
      <c r="F14" s="11"/>
      <c r="G14" s="10"/>
      <c r="H14" s="12"/>
      <c r="I14" s="11"/>
      <c r="J14" s="9"/>
    </row>
    <row r="15" spans="1:10" s="3" customFormat="1" ht="22.5" customHeight="1" x14ac:dyDescent="0.15">
      <c r="A15" s="7"/>
      <c r="B15" s="14" t="s">
        <v>216</v>
      </c>
      <c r="C15" s="9" t="s">
        <v>217</v>
      </c>
      <c r="D15" s="11">
        <v>1</v>
      </c>
      <c r="E15" s="11">
        <f>COUNTIF(G:G,C15)</f>
        <v>0</v>
      </c>
      <c r="F15" s="11">
        <f>D15+E15</f>
        <v>1</v>
      </c>
      <c r="G15" s="10"/>
      <c r="H15" s="12"/>
      <c r="I15" s="11"/>
      <c r="J15" s="9"/>
    </row>
    <row r="16" spans="1:10" ht="22.5" customHeight="1" x14ac:dyDescent="0.15">
      <c r="A16" s="6"/>
      <c r="B16" s="14" t="s">
        <v>216</v>
      </c>
      <c r="C16" s="9" t="s">
        <v>218</v>
      </c>
      <c r="D16" s="9">
        <v>974</v>
      </c>
      <c r="E16" s="11">
        <f t="shared" ref="E16:E23" si="0">COUNTIF(G:G,C16)</f>
        <v>3</v>
      </c>
      <c r="F16" s="11">
        <f t="shared" ref="F16:F23" si="1">D16+E16</f>
        <v>977</v>
      </c>
      <c r="G16" s="9"/>
      <c r="H16" s="9"/>
      <c r="I16" s="9"/>
      <c r="J16" s="16"/>
    </row>
    <row r="17" spans="1:11" ht="22.5" customHeight="1" x14ac:dyDescent="0.15">
      <c r="A17" s="6"/>
      <c r="B17" s="14" t="s">
        <v>216</v>
      </c>
      <c r="C17" s="8" t="s">
        <v>219</v>
      </c>
      <c r="D17" s="10">
        <v>408</v>
      </c>
      <c r="E17" s="11">
        <f t="shared" si="0"/>
        <v>0</v>
      </c>
      <c r="F17" s="11">
        <f t="shared" si="1"/>
        <v>408</v>
      </c>
      <c r="G17" s="9"/>
      <c r="H17" s="9"/>
      <c r="I17" s="9"/>
      <c r="J17" s="16"/>
    </row>
    <row r="18" spans="1:11" ht="22.5" customHeight="1" x14ac:dyDescent="0.15">
      <c r="A18" s="6"/>
      <c r="B18" s="14" t="s">
        <v>216</v>
      </c>
      <c r="C18" s="8" t="s">
        <v>220</v>
      </c>
      <c r="D18" s="10">
        <v>83</v>
      </c>
      <c r="E18" s="11">
        <f>COUNTIF(G:G,"再就业")+COUNTIF(G:G,"小贷")</f>
        <v>0</v>
      </c>
      <c r="F18" s="11">
        <f t="shared" si="1"/>
        <v>83</v>
      </c>
      <c r="G18" s="10"/>
      <c r="H18" s="10"/>
      <c r="I18" s="11"/>
      <c r="J18" s="16"/>
    </row>
    <row r="19" spans="1:11" ht="22.5" customHeight="1" x14ac:dyDescent="0.15">
      <c r="A19" s="6"/>
      <c r="B19" s="14" t="s">
        <v>216</v>
      </c>
      <c r="C19" s="8" t="s">
        <v>221</v>
      </c>
      <c r="D19" s="10">
        <v>1</v>
      </c>
      <c r="E19" s="11">
        <f t="shared" si="0"/>
        <v>0</v>
      </c>
      <c r="F19" s="11">
        <f t="shared" si="1"/>
        <v>1</v>
      </c>
      <c r="G19" s="10"/>
      <c r="H19" s="10"/>
      <c r="I19" s="11"/>
      <c r="J19" s="16"/>
    </row>
    <row r="20" spans="1:11" ht="22.5" customHeight="1" x14ac:dyDescent="0.15">
      <c r="A20" s="6"/>
      <c r="B20" s="14" t="s">
        <v>216</v>
      </c>
      <c r="C20" s="8" t="s">
        <v>16</v>
      </c>
      <c r="D20" s="10">
        <v>613</v>
      </c>
      <c r="E20" s="11">
        <f t="shared" si="0"/>
        <v>4</v>
      </c>
      <c r="F20" s="11">
        <f t="shared" si="1"/>
        <v>617</v>
      </c>
      <c r="G20" s="10"/>
      <c r="H20" s="10"/>
      <c r="I20" s="11"/>
      <c r="J20" s="16"/>
    </row>
    <row r="21" spans="1:11" ht="22.5" customHeight="1" x14ac:dyDescent="0.15">
      <c r="A21" s="6"/>
      <c r="B21" s="14" t="s">
        <v>216</v>
      </c>
      <c r="C21" s="8" t="s">
        <v>49</v>
      </c>
      <c r="D21" s="10">
        <v>821</v>
      </c>
      <c r="E21" s="11">
        <f t="shared" si="0"/>
        <v>0</v>
      </c>
      <c r="F21" s="11">
        <f t="shared" si="1"/>
        <v>821</v>
      </c>
      <c r="G21" s="10"/>
      <c r="H21" s="10"/>
      <c r="I21" s="11"/>
      <c r="J21" s="16"/>
    </row>
    <row r="22" spans="1:11" ht="22.5" customHeight="1" x14ac:dyDescent="0.15">
      <c r="A22" s="6"/>
      <c r="B22" s="14" t="s">
        <v>216</v>
      </c>
      <c r="C22" s="8" t="s">
        <v>21</v>
      </c>
      <c r="D22" s="10">
        <v>4518</v>
      </c>
      <c r="E22" s="11">
        <f t="shared" si="0"/>
        <v>1</v>
      </c>
      <c r="F22" s="11">
        <f t="shared" si="1"/>
        <v>4519</v>
      </c>
      <c r="G22" s="10"/>
      <c r="H22" s="10"/>
      <c r="I22" s="11"/>
      <c r="J22" s="16"/>
    </row>
    <row r="23" spans="1:11" ht="22.5" customHeight="1" x14ac:dyDescent="0.15">
      <c r="A23" s="6"/>
      <c r="B23" s="14" t="s">
        <v>216</v>
      </c>
      <c r="C23" s="15" t="s">
        <v>222</v>
      </c>
      <c r="D23" s="16">
        <v>40</v>
      </c>
      <c r="E23" s="11">
        <f t="shared" si="0"/>
        <v>1</v>
      </c>
      <c r="F23" s="11">
        <f t="shared" si="1"/>
        <v>41</v>
      </c>
      <c r="G23" s="16"/>
      <c r="H23" s="16"/>
      <c r="I23" s="14"/>
      <c r="J23" s="16"/>
    </row>
    <row r="24" spans="1:11" ht="22.5" customHeight="1" x14ac:dyDescent="0.15">
      <c r="A24" s="24"/>
      <c r="B24" s="24"/>
      <c r="C24" s="25"/>
      <c r="D24" s="26">
        <f>SUM(D15:D23)</f>
        <v>7459</v>
      </c>
      <c r="E24" s="26">
        <f>SUM(E15:E23)</f>
        <v>9</v>
      </c>
      <c r="F24" s="26">
        <f>SUM(F15:F23)</f>
        <v>7468</v>
      </c>
      <c r="G24" s="19"/>
      <c r="H24" s="19"/>
      <c r="I24" s="18"/>
      <c r="J24" s="18"/>
    </row>
    <row r="25" spans="1:11" ht="39.950000000000003" customHeight="1" x14ac:dyDescent="0.15">
      <c r="A25" s="55" t="s">
        <v>223</v>
      </c>
      <c r="B25" s="55"/>
      <c r="C25" s="56"/>
      <c r="D25" s="55"/>
      <c r="E25" s="55"/>
      <c r="F25" s="57"/>
      <c r="G25" s="21"/>
      <c r="H25" s="22"/>
      <c r="I25" s="22"/>
      <c r="J25" s="22"/>
    </row>
    <row r="26" spans="1:11" ht="36.950000000000003" customHeight="1" x14ac:dyDescent="0.15">
      <c r="A26" s="66" t="s">
        <v>224</v>
      </c>
      <c r="B26" s="55"/>
      <c r="C26" s="27"/>
      <c r="D26" s="59" t="s">
        <v>225</v>
      </c>
      <c r="E26" s="57"/>
      <c r="F26" s="28"/>
      <c r="G26" s="21"/>
      <c r="H26" s="22"/>
      <c r="I26" s="22"/>
      <c r="J26" s="22"/>
    </row>
    <row r="27" spans="1:11" ht="36" customHeight="1" x14ac:dyDescent="0.15">
      <c r="A27" s="59" t="s">
        <v>226</v>
      </c>
      <c r="B27" s="58"/>
      <c r="C27" s="29"/>
      <c r="D27" s="59" t="s">
        <v>225</v>
      </c>
      <c r="E27" s="57"/>
      <c r="F27" s="30"/>
      <c r="G27" s="21"/>
      <c r="H27" s="22"/>
      <c r="I27" s="22"/>
      <c r="J27" s="22"/>
    </row>
    <row r="28" spans="1:11" ht="27" customHeight="1" x14ac:dyDescent="0.15">
      <c r="A28" s="60" t="s">
        <v>227</v>
      </c>
      <c r="B28" s="61"/>
      <c r="C28" s="29"/>
      <c r="D28" s="60" t="s">
        <v>225</v>
      </c>
      <c r="E28" s="61"/>
      <c r="F28" s="31"/>
      <c r="G28" s="32"/>
      <c r="H28" s="33"/>
      <c r="I28" s="33"/>
      <c r="J28" s="33"/>
    </row>
    <row r="29" spans="1:11" ht="30" customHeight="1" x14ac:dyDescent="0.15">
      <c r="A29" s="60" t="s">
        <v>227</v>
      </c>
      <c r="B29" s="61"/>
      <c r="C29" s="34"/>
      <c r="D29" s="60" t="s">
        <v>225</v>
      </c>
      <c r="E29" s="60"/>
      <c r="F29" s="6"/>
      <c r="G29" s="6"/>
      <c r="H29" s="5"/>
      <c r="I29" s="5"/>
      <c r="J29" s="35"/>
      <c r="K29" s="36"/>
    </row>
    <row r="30" spans="1:11" ht="22.5" customHeight="1" x14ac:dyDescent="0.15"/>
    <row r="64" spans="1:10" ht="13.5" x14ac:dyDescent="0.15">
      <c r="A64" s="62"/>
      <c r="B64" s="62"/>
      <c r="C64" s="63"/>
      <c r="D64" s="63"/>
      <c r="E64" s="63"/>
      <c r="F64" s="63"/>
      <c r="G64" s="63"/>
      <c r="H64" s="63"/>
      <c r="I64" s="63"/>
      <c r="J64" s="63"/>
    </row>
    <row r="65" spans="1:10" ht="13.5" x14ac:dyDescent="0.15">
      <c r="A65" s="62"/>
      <c r="B65" s="62"/>
      <c r="C65" s="63"/>
      <c r="D65" s="63"/>
      <c r="E65" s="63"/>
      <c r="F65" s="63"/>
      <c r="G65" s="63"/>
      <c r="H65" s="63"/>
      <c r="I65" s="63"/>
      <c r="J65" s="63"/>
    </row>
    <row r="66" spans="1:10" ht="13.5" x14ac:dyDescent="0.15">
      <c r="A66" s="62"/>
      <c r="B66" s="62"/>
      <c r="C66" s="63"/>
      <c r="D66" s="63"/>
      <c r="E66" s="63"/>
      <c r="F66" s="63"/>
      <c r="G66" s="63"/>
      <c r="H66" s="63"/>
      <c r="I66" s="63"/>
      <c r="J66" s="63"/>
    </row>
    <row r="67" spans="1:10" ht="13.5" x14ac:dyDescent="0.15">
      <c r="A67" s="62"/>
      <c r="B67" s="62"/>
      <c r="C67" s="63"/>
      <c r="D67" s="63"/>
      <c r="E67" s="63"/>
      <c r="F67" s="63"/>
      <c r="G67" s="63"/>
      <c r="H67" s="63"/>
      <c r="I67" s="63"/>
      <c r="J67" s="63"/>
    </row>
    <row r="68" spans="1:10" ht="13.5" x14ac:dyDescent="0.15">
      <c r="A68" s="62"/>
      <c r="B68" s="62"/>
      <c r="C68" s="63"/>
      <c r="D68" s="63"/>
      <c r="E68" s="63"/>
      <c r="F68" s="63"/>
      <c r="G68" s="63"/>
      <c r="H68" s="63"/>
      <c r="I68" s="63"/>
      <c r="J68" s="63"/>
    </row>
    <row r="69" spans="1:10" ht="13.5" x14ac:dyDescent="0.15">
      <c r="A69" s="62"/>
      <c r="B69" s="62"/>
      <c r="C69" s="63"/>
      <c r="D69" s="63"/>
      <c r="E69" s="63"/>
      <c r="F69" s="63"/>
      <c r="G69" s="63"/>
      <c r="H69" s="63"/>
      <c r="I69" s="63"/>
      <c r="J69" s="63"/>
    </row>
    <row r="70" spans="1:10" ht="13.5" x14ac:dyDescent="0.15">
      <c r="A70" s="62"/>
      <c r="B70" s="62"/>
      <c r="C70" s="63"/>
      <c r="D70" s="63"/>
      <c r="E70" s="63"/>
      <c r="F70" s="63"/>
      <c r="G70" s="63"/>
      <c r="H70" s="63"/>
      <c r="I70" s="63"/>
      <c r="J70" s="63"/>
    </row>
    <row r="71" spans="1:10" ht="13.5" x14ac:dyDescent="0.15">
      <c r="A71" s="62"/>
      <c r="B71" s="62"/>
      <c r="C71" s="63"/>
      <c r="D71" s="63"/>
      <c r="E71" s="63"/>
      <c r="F71" s="63"/>
      <c r="G71" s="63"/>
      <c r="H71" s="63"/>
      <c r="I71" s="63"/>
      <c r="J71" s="63"/>
    </row>
    <row r="72" spans="1:10" ht="13.5" x14ac:dyDescent="0.15">
      <c r="A72" s="62"/>
      <c r="B72" s="62"/>
      <c r="C72" s="63"/>
      <c r="D72" s="63"/>
      <c r="E72" s="62"/>
      <c r="F72" s="63"/>
      <c r="G72" s="63"/>
      <c r="H72" s="62"/>
      <c r="I72" s="62"/>
      <c r="J72" s="62"/>
    </row>
  </sheetData>
  <sortState xmlns:xlrd2="http://schemas.microsoft.com/office/spreadsheetml/2017/richdata2" ref="B5:I13">
    <sortCondition ref="B5:B13"/>
  </sortState>
  <mergeCells count="18">
    <mergeCell ref="A72:J72"/>
    <mergeCell ref="A64:B71"/>
    <mergeCell ref="C64:J65"/>
    <mergeCell ref="C66:J67"/>
    <mergeCell ref="C68:J69"/>
    <mergeCell ref="C70:J71"/>
    <mergeCell ref="A27:B27"/>
    <mergeCell ref="D27:E27"/>
    <mergeCell ref="A28:B28"/>
    <mergeCell ref="D28:E28"/>
    <mergeCell ref="A29:B29"/>
    <mergeCell ref="D29:E29"/>
    <mergeCell ref="A1:J1"/>
    <mergeCell ref="A2:J2"/>
    <mergeCell ref="A3:J3"/>
    <mergeCell ref="A25:F25"/>
    <mergeCell ref="A26:B26"/>
    <mergeCell ref="D26:E26"/>
  </mergeCells>
  <phoneticPr fontId="11" type="noConversion"/>
  <dataValidations count="1">
    <dataValidation type="list" allowBlank="1" showInputMessage="1" showErrorMessage="1" sqref="J16:J20 J21:J23" xr:uid="{00000000-0002-0000-0800-000000000000}">
      <formula1>$U$2:$U$3</formula1>
    </dataValidation>
  </dataValidations>
  <pageMargins left="0.7" right="0.7" top="0.75" bottom="0.75" header="0.3" footer="0.3"/>
  <pageSetup paperSize="9" scale="79" fitToHeight="0" orientation="portrait" r:id="rId1"/>
  <colBreaks count="1" manualBreakCount="1">
    <brk id="10" max="1048575" man="1"/>
  </colBreaks>
  <ignoredErrors>
    <ignoredError sqref="E18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K72"/>
  <sheetViews>
    <sheetView view="pageBreakPreview" zoomScaleNormal="100" workbookViewId="0">
      <selection activeCell="E5" sqref="E5"/>
    </sheetView>
  </sheetViews>
  <sheetFormatPr defaultColWidth="9" defaultRowHeight="23.25" customHeight="1" x14ac:dyDescent="0.15"/>
  <cols>
    <col min="1" max="1" width="5.875" style="2" customWidth="1"/>
    <col min="2" max="2" width="9" style="2" customWidth="1"/>
    <col min="3" max="3" width="14.625" style="4" customWidth="1"/>
    <col min="4" max="4" width="14.125" style="4" customWidth="1"/>
    <col min="5" max="5" width="10.125" style="2"/>
    <col min="6" max="6" width="11.5" style="4"/>
    <col min="7" max="7" width="9.875" style="4"/>
    <col min="8" max="8" width="18.5" style="2"/>
    <col min="9" max="9" width="9.7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2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5" t="s">
        <v>3</v>
      </c>
      <c r="B4" s="6" t="s">
        <v>4</v>
      </c>
      <c r="C4" s="6" t="s">
        <v>5</v>
      </c>
      <c r="D4" s="6" t="s">
        <v>6</v>
      </c>
      <c r="E4" s="6" t="s">
        <v>1541</v>
      </c>
      <c r="F4" s="6" t="s">
        <v>8</v>
      </c>
      <c r="G4" s="6" t="s">
        <v>9</v>
      </c>
      <c r="H4" s="6" t="s">
        <v>10</v>
      </c>
      <c r="I4" s="6" t="s">
        <v>11</v>
      </c>
      <c r="J4" s="5" t="s">
        <v>12</v>
      </c>
    </row>
    <row r="5" spans="1:10" s="3" customFormat="1" ht="36.950000000000003" customHeight="1" x14ac:dyDescent="0.15">
      <c r="A5" s="7">
        <v>1</v>
      </c>
      <c r="B5" s="8">
        <v>119</v>
      </c>
      <c r="C5" s="46" t="s">
        <v>1542</v>
      </c>
      <c r="D5" s="47" t="s">
        <v>1543</v>
      </c>
      <c r="E5" s="10" t="s">
        <v>1544</v>
      </c>
      <c r="F5" s="10" t="s">
        <v>1545</v>
      </c>
      <c r="G5" s="10" t="s">
        <v>222</v>
      </c>
      <c r="H5" s="23" t="s">
        <v>1546</v>
      </c>
      <c r="I5" s="10">
        <v>1000</v>
      </c>
      <c r="J5" s="9"/>
    </row>
    <row r="6" spans="1:10" s="3" customFormat="1" ht="30" customHeight="1" x14ac:dyDescent="0.15">
      <c r="A6" s="7">
        <v>2</v>
      </c>
      <c r="B6" s="8"/>
      <c r="C6" s="9"/>
      <c r="D6" s="10"/>
      <c r="E6" s="10"/>
      <c r="F6" s="10"/>
      <c r="G6" s="10"/>
      <c r="H6" s="23"/>
      <c r="I6" s="11"/>
      <c r="J6" s="9"/>
    </row>
    <row r="7" spans="1:10" s="3" customFormat="1" ht="24" customHeight="1" x14ac:dyDescent="0.15">
      <c r="A7" s="7">
        <v>3</v>
      </c>
      <c r="B7" s="8"/>
      <c r="C7" s="9"/>
      <c r="D7" s="10"/>
      <c r="E7" s="9"/>
      <c r="F7" s="9"/>
      <c r="G7" s="10"/>
      <c r="H7" s="23"/>
      <c r="I7" s="11"/>
      <c r="J7" s="9"/>
    </row>
    <row r="8" spans="1:10" s="3" customFormat="1" ht="22.5" customHeight="1" x14ac:dyDescent="0.15">
      <c r="A8" s="7"/>
      <c r="B8" s="8"/>
      <c r="C8" s="9"/>
      <c r="D8" s="10"/>
      <c r="E8" s="9"/>
      <c r="F8" s="9"/>
      <c r="G8" s="10"/>
      <c r="H8" s="23"/>
      <c r="I8" s="11"/>
      <c r="J8" s="9"/>
    </row>
    <row r="9" spans="1:10" s="3" customFormat="1" ht="22.5" customHeight="1" x14ac:dyDescent="0.15">
      <c r="A9" s="7"/>
      <c r="B9" s="8"/>
      <c r="C9" s="9"/>
      <c r="D9" s="10"/>
      <c r="E9" s="9"/>
      <c r="F9" s="9"/>
      <c r="G9" s="10"/>
      <c r="H9" s="23"/>
      <c r="I9" s="11"/>
      <c r="J9" s="9"/>
    </row>
    <row r="10" spans="1:10" s="3" customFormat="1" ht="22.5" customHeight="1" x14ac:dyDescent="0.15">
      <c r="A10" s="7"/>
      <c r="B10" s="8"/>
      <c r="C10" s="9"/>
      <c r="D10" s="10"/>
      <c r="E10" s="9"/>
      <c r="F10" s="9"/>
      <c r="G10" s="10"/>
      <c r="H10" s="23"/>
      <c r="I10" s="11"/>
      <c r="J10" s="9"/>
    </row>
    <row r="11" spans="1:10" s="3" customFormat="1" ht="22.5" customHeight="1" x14ac:dyDescent="0.15">
      <c r="A11" s="7"/>
      <c r="B11" s="8"/>
      <c r="C11" s="9"/>
      <c r="D11" s="10"/>
      <c r="E11" s="9"/>
      <c r="F11" s="9"/>
      <c r="G11" s="10"/>
      <c r="H11" s="23"/>
      <c r="I11" s="11"/>
      <c r="J11" s="9"/>
    </row>
    <row r="12" spans="1:10" s="3" customFormat="1" ht="22.5" customHeight="1" x14ac:dyDescent="0.15">
      <c r="A12" s="7"/>
      <c r="B12" s="8"/>
      <c r="C12" s="9"/>
      <c r="D12" s="10"/>
      <c r="E12" s="9"/>
      <c r="F12" s="9"/>
      <c r="G12" s="10"/>
      <c r="H12" s="23"/>
      <c r="I12" s="11"/>
      <c r="J12" s="9"/>
    </row>
    <row r="13" spans="1:10" s="3" customFormat="1" ht="22.5" customHeight="1" x14ac:dyDescent="0.15">
      <c r="A13" s="7"/>
      <c r="B13" s="8"/>
      <c r="C13" s="9"/>
      <c r="D13" s="10"/>
      <c r="E13" s="9"/>
      <c r="F13" s="9"/>
      <c r="G13" s="10"/>
      <c r="H13" s="23"/>
      <c r="I13" s="11"/>
      <c r="J13" s="9"/>
    </row>
    <row r="14" spans="1:10" s="3" customFormat="1" ht="22.5" customHeight="1" x14ac:dyDescent="0.15">
      <c r="A14" s="7"/>
      <c r="B14" s="8"/>
      <c r="C14" s="9"/>
      <c r="D14" s="11"/>
      <c r="E14" s="11"/>
      <c r="F14" s="11"/>
      <c r="G14" s="10"/>
      <c r="H14" s="12"/>
      <c r="I14" s="11"/>
      <c r="J14" s="9"/>
    </row>
    <row r="15" spans="1:10" s="3" customFormat="1" ht="22.5" customHeight="1" x14ac:dyDescent="0.15">
      <c r="A15" s="7"/>
      <c r="B15" s="14" t="s">
        <v>216</v>
      </c>
      <c r="C15" s="9" t="s">
        <v>217</v>
      </c>
      <c r="D15" s="11">
        <v>1</v>
      </c>
      <c r="E15" s="11">
        <v>0</v>
      </c>
      <c r="F15" s="11">
        <v>1</v>
      </c>
      <c r="G15" s="10"/>
      <c r="H15" s="12"/>
      <c r="I15" s="11"/>
      <c r="J15" s="9"/>
    </row>
    <row r="16" spans="1:10" ht="22.5" customHeight="1" x14ac:dyDescent="0.15">
      <c r="A16" s="6"/>
      <c r="B16" s="14" t="s">
        <v>216</v>
      </c>
      <c r="C16" s="9" t="s">
        <v>218</v>
      </c>
      <c r="D16" s="9">
        <v>979</v>
      </c>
      <c r="E16" s="9">
        <v>0</v>
      </c>
      <c r="F16" s="9">
        <v>979</v>
      </c>
      <c r="G16" s="9"/>
      <c r="H16" s="9"/>
      <c r="I16" s="9"/>
      <c r="J16" s="16"/>
    </row>
    <row r="17" spans="1:11" ht="22.5" customHeight="1" x14ac:dyDescent="0.15">
      <c r="A17" s="6"/>
      <c r="B17" s="14" t="s">
        <v>216</v>
      </c>
      <c r="C17" s="8" t="s">
        <v>219</v>
      </c>
      <c r="D17" s="10">
        <v>411</v>
      </c>
      <c r="E17" s="11">
        <v>0</v>
      </c>
      <c r="F17" s="10">
        <v>411</v>
      </c>
      <c r="G17" s="9"/>
      <c r="H17" s="9"/>
      <c r="I17" s="9"/>
      <c r="J17" s="16"/>
    </row>
    <row r="18" spans="1:11" ht="22.5" customHeight="1" x14ac:dyDescent="0.15">
      <c r="A18" s="6"/>
      <c r="B18" s="14" t="s">
        <v>216</v>
      </c>
      <c r="C18" s="8" t="s">
        <v>220</v>
      </c>
      <c r="D18" s="10">
        <v>84</v>
      </c>
      <c r="E18" s="11">
        <v>0</v>
      </c>
      <c r="F18" s="10">
        <v>84</v>
      </c>
      <c r="G18" s="10"/>
      <c r="H18" s="10"/>
      <c r="I18" s="11"/>
      <c r="J18" s="16"/>
    </row>
    <row r="19" spans="1:11" ht="22.5" customHeight="1" x14ac:dyDescent="0.15">
      <c r="A19" s="6"/>
      <c r="B19" s="14" t="s">
        <v>216</v>
      </c>
      <c r="C19" s="8" t="s">
        <v>221</v>
      </c>
      <c r="D19" s="10">
        <v>1</v>
      </c>
      <c r="E19" s="11">
        <v>0</v>
      </c>
      <c r="F19" s="10">
        <v>1</v>
      </c>
      <c r="G19" s="10"/>
      <c r="H19" s="10"/>
      <c r="I19" s="11"/>
      <c r="J19" s="16"/>
    </row>
    <row r="20" spans="1:11" ht="22.5" customHeight="1" x14ac:dyDescent="0.15">
      <c r="A20" s="6"/>
      <c r="B20" s="14" t="s">
        <v>216</v>
      </c>
      <c r="C20" s="8" t="s">
        <v>16</v>
      </c>
      <c r="D20" s="10">
        <v>613</v>
      </c>
      <c r="E20" s="11">
        <v>0</v>
      </c>
      <c r="F20" s="10">
        <v>613</v>
      </c>
      <c r="G20" s="10"/>
      <c r="H20" s="10"/>
      <c r="I20" s="11"/>
      <c r="J20" s="16"/>
    </row>
    <row r="21" spans="1:11" ht="22.5" customHeight="1" x14ac:dyDescent="0.15">
      <c r="A21" s="6"/>
      <c r="B21" s="14" t="s">
        <v>216</v>
      </c>
      <c r="C21" s="8" t="s">
        <v>49</v>
      </c>
      <c r="D21" s="10">
        <v>821</v>
      </c>
      <c r="E21" s="11">
        <v>0</v>
      </c>
      <c r="F21" s="10">
        <v>821</v>
      </c>
      <c r="G21" s="10"/>
      <c r="H21" s="10"/>
      <c r="I21" s="11"/>
      <c r="J21" s="16"/>
    </row>
    <row r="22" spans="1:11" ht="22.5" customHeight="1" x14ac:dyDescent="0.15">
      <c r="A22" s="6"/>
      <c r="B22" s="14" t="s">
        <v>216</v>
      </c>
      <c r="C22" s="8" t="s">
        <v>21</v>
      </c>
      <c r="D22" s="10">
        <v>4547</v>
      </c>
      <c r="E22" s="11">
        <v>0</v>
      </c>
      <c r="F22" s="10">
        <v>4547</v>
      </c>
      <c r="G22" s="10"/>
      <c r="H22" s="10"/>
      <c r="I22" s="11"/>
      <c r="J22" s="16"/>
    </row>
    <row r="23" spans="1:11" ht="22.5" customHeight="1" x14ac:dyDescent="0.15">
      <c r="A23" s="6"/>
      <c r="B23" s="14" t="s">
        <v>216</v>
      </c>
      <c r="C23" s="15" t="s">
        <v>222</v>
      </c>
      <c r="D23" s="16">
        <v>39</v>
      </c>
      <c r="E23" s="14">
        <v>1</v>
      </c>
      <c r="F23" s="17">
        <v>40</v>
      </c>
      <c r="G23" s="16"/>
      <c r="H23" s="16"/>
      <c r="I23" s="14"/>
      <c r="J23" s="16"/>
    </row>
    <row r="24" spans="1:11" ht="22.5" customHeight="1" x14ac:dyDescent="0.15">
      <c r="A24" s="24"/>
      <c r="B24" s="24"/>
      <c r="C24" s="25"/>
      <c r="D24" s="25">
        <v>7499</v>
      </c>
      <c r="E24" s="24">
        <v>1</v>
      </c>
      <c r="F24" s="26">
        <v>7500</v>
      </c>
      <c r="G24" s="19"/>
      <c r="H24" s="19"/>
      <c r="I24" s="18"/>
      <c r="J24" s="18"/>
    </row>
    <row r="25" spans="1:11" ht="39.950000000000003" customHeight="1" x14ac:dyDescent="0.15">
      <c r="A25" s="55" t="s">
        <v>223</v>
      </c>
      <c r="B25" s="55"/>
      <c r="C25" s="56"/>
      <c r="D25" s="55"/>
      <c r="E25" s="55"/>
      <c r="F25" s="57"/>
      <c r="G25" s="21"/>
      <c r="H25" s="22"/>
      <c r="I25" s="22"/>
      <c r="J25" s="22"/>
    </row>
    <row r="26" spans="1:11" ht="36.950000000000003" customHeight="1" x14ac:dyDescent="0.15">
      <c r="A26" s="66" t="s">
        <v>224</v>
      </c>
      <c r="B26" s="55"/>
      <c r="C26" s="27"/>
      <c r="D26" s="59" t="s">
        <v>225</v>
      </c>
      <c r="E26" s="57"/>
      <c r="F26" s="28"/>
      <c r="G26" s="21"/>
      <c r="H26" s="22"/>
      <c r="I26" s="22"/>
      <c r="J26" s="22"/>
    </row>
    <row r="27" spans="1:11" ht="36" customHeight="1" x14ac:dyDescent="0.15">
      <c r="A27" s="59" t="s">
        <v>226</v>
      </c>
      <c r="B27" s="58"/>
      <c r="C27" s="29"/>
      <c r="D27" s="59" t="s">
        <v>225</v>
      </c>
      <c r="E27" s="57"/>
      <c r="F27" s="30"/>
      <c r="G27" s="21"/>
      <c r="H27" s="22"/>
      <c r="I27" s="22"/>
      <c r="J27" s="22"/>
    </row>
    <row r="28" spans="1:11" ht="27" customHeight="1" x14ac:dyDescent="0.15">
      <c r="A28" s="60" t="s">
        <v>227</v>
      </c>
      <c r="B28" s="61"/>
      <c r="C28" s="29"/>
      <c r="D28" s="60" t="s">
        <v>225</v>
      </c>
      <c r="E28" s="61"/>
      <c r="F28" s="31"/>
      <c r="G28" s="32"/>
      <c r="H28" s="33"/>
      <c r="I28" s="33"/>
      <c r="J28" s="33"/>
    </row>
    <row r="29" spans="1:11" ht="30" customHeight="1" x14ac:dyDescent="0.15">
      <c r="A29" s="60" t="s">
        <v>227</v>
      </c>
      <c r="B29" s="61"/>
      <c r="C29" s="34"/>
      <c r="D29" s="60" t="s">
        <v>225</v>
      </c>
      <c r="E29" s="60"/>
      <c r="F29" s="6"/>
      <c r="G29" s="6"/>
      <c r="H29" s="5"/>
      <c r="I29" s="5"/>
      <c r="J29" s="35"/>
      <c r="K29" s="36"/>
    </row>
    <row r="30" spans="1:11" ht="22.5" customHeight="1" x14ac:dyDescent="0.15"/>
    <row r="64" spans="1:10" ht="13.5" x14ac:dyDescent="0.15">
      <c r="A64" s="62"/>
      <c r="B64" s="62"/>
      <c r="C64" s="63"/>
      <c r="D64" s="63"/>
      <c r="E64" s="62"/>
      <c r="F64" s="63"/>
      <c r="G64" s="63"/>
      <c r="H64" s="62"/>
      <c r="I64" s="62"/>
      <c r="J64" s="62"/>
    </row>
    <row r="65" spans="1:10" ht="13.5" x14ac:dyDescent="0.15">
      <c r="A65" s="62"/>
      <c r="B65" s="62"/>
      <c r="C65" s="63"/>
      <c r="D65" s="63"/>
      <c r="E65" s="62"/>
      <c r="F65" s="63"/>
      <c r="G65" s="63"/>
      <c r="H65" s="62"/>
      <c r="I65" s="62"/>
      <c r="J65" s="62"/>
    </row>
    <row r="66" spans="1:10" ht="13.5" x14ac:dyDescent="0.15">
      <c r="A66" s="62"/>
      <c r="B66" s="62"/>
      <c r="C66" s="63"/>
      <c r="D66" s="63"/>
      <c r="E66" s="62"/>
      <c r="F66" s="63"/>
      <c r="G66" s="63"/>
      <c r="H66" s="62"/>
      <c r="I66" s="62"/>
      <c r="J66" s="62"/>
    </row>
    <row r="67" spans="1:10" ht="13.5" x14ac:dyDescent="0.15">
      <c r="A67" s="62"/>
      <c r="B67" s="62"/>
      <c r="C67" s="63"/>
      <c r="D67" s="63"/>
      <c r="E67" s="62"/>
      <c r="F67" s="63"/>
      <c r="G67" s="63"/>
      <c r="H67" s="62"/>
      <c r="I67" s="62"/>
      <c r="J67" s="62"/>
    </row>
    <row r="68" spans="1:10" ht="13.5" x14ac:dyDescent="0.15">
      <c r="A68" s="62"/>
      <c r="B68" s="62"/>
      <c r="C68" s="63"/>
      <c r="D68" s="63"/>
      <c r="E68" s="62"/>
      <c r="F68" s="63"/>
      <c r="G68" s="63"/>
      <c r="H68" s="62"/>
      <c r="I68" s="62"/>
      <c r="J68" s="62"/>
    </row>
    <row r="69" spans="1:10" ht="13.5" x14ac:dyDescent="0.15">
      <c r="A69" s="62"/>
      <c r="B69" s="62"/>
      <c r="C69" s="63"/>
      <c r="D69" s="63"/>
      <c r="E69" s="62"/>
      <c r="F69" s="63"/>
      <c r="G69" s="63"/>
      <c r="H69" s="62"/>
      <c r="I69" s="62"/>
      <c r="J69" s="62"/>
    </row>
    <row r="70" spans="1:10" ht="13.5" x14ac:dyDescent="0.15">
      <c r="A70" s="62"/>
      <c r="B70" s="62"/>
      <c r="C70" s="63"/>
      <c r="D70" s="63"/>
      <c r="E70" s="62"/>
      <c r="F70" s="63"/>
      <c r="G70" s="63"/>
      <c r="H70" s="62"/>
      <c r="I70" s="62"/>
      <c r="J70" s="62"/>
    </row>
    <row r="71" spans="1:10" ht="13.5" x14ac:dyDescent="0.15">
      <c r="A71" s="62"/>
      <c r="B71" s="62"/>
      <c r="C71" s="63"/>
      <c r="D71" s="63"/>
      <c r="E71" s="62"/>
      <c r="F71" s="63"/>
      <c r="G71" s="63"/>
      <c r="H71" s="62"/>
      <c r="I71" s="62"/>
      <c r="J71" s="62"/>
    </row>
    <row r="72" spans="1:10" ht="13.5" x14ac:dyDescent="0.15">
      <c r="A72" s="62"/>
      <c r="B72" s="62"/>
      <c r="C72" s="63"/>
      <c r="D72" s="63"/>
      <c r="E72" s="62"/>
      <c r="F72" s="63"/>
      <c r="G72" s="63"/>
      <c r="H72" s="62"/>
      <c r="I72" s="62"/>
      <c r="J72" s="62"/>
    </row>
  </sheetData>
  <mergeCells count="18">
    <mergeCell ref="A72:J72"/>
    <mergeCell ref="C70:J71"/>
    <mergeCell ref="C68:J69"/>
    <mergeCell ref="C66:J67"/>
    <mergeCell ref="C64:J65"/>
    <mergeCell ref="A64:B71"/>
    <mergeCell ref="A27:B27"/>
    <mergeCell ref="D27:E27"/>
    <mergeCell ref="A28:B28"/>
    <mergeCell ref="D28:E28"/>
    <mergeCell ref="A29:B29"/>
    <mergeCell ref="D29:E29"/>
    <mergeCell ref="A1:J1"/>
    <mergeCell ref="A2:J2"/>
    <mergeCell ref="A3:J3"/>
    <mergeCell ref="A25:F25"/>
    <mergeCell ref="A26:B26"/>
    <mergeCell ref="D26:E26"/>
  </mergeCells>
  <phoneticPr fontId="11" type="noConversion"/>
  <dataValidations count="1">
    <dataValidation type="list" allowBlank="1" showInputMessage="1" showErrorMessage="1" sqref="J16:J20 J21:J23" xr:uid="{00000000-0002-0000-0900-000000000000}">
      <formula1>$U$2:$U$3</formula1>
    </dataValidation>
  </dataValidations>
  <pageMargins left="0.7" right="0.7" top="0.75" bottom="0.75" header="0.3" footer="0.3"/>
  <pageSetup paperSize="9" scale="81" orientation="portrait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/>
  <dimension ref="A1:J83"/>
  <sheetViews>
    <sheetView workbookViewId="0">
      <selection activeCell="F28" sqref="F28"/>
    </sheetView>
  </sheetViews>
  <sheetFormatPr defaultColWidth="9" defaultRowHeight="23.25" customHeight="1" x14ac:dyDescent="0.15"/>
  <cols>
    <col min="1" max="1" width="3.75" style="2"/>
    <col min="2" max="2" width="7.25" style="2"/>
    <col min="3" max="3" width="25.25" style="4" customWidth="1"/>
    <col min="4" max="4" width="20" style="4" customWidth="1"/>
    <col min="5" max="5" width="10.125" style="2"/>
    <col min="6" max="6" width="11.5" style="4"/>
    <col min="7" max="7" width="9.875" style="4"/>
    <col min="8" max="8" width="18.5" style="2"/>
    <col min="9" max="9" width="9.75" style="2" customWidth="1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1547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5" t="s">
        <v>3</v>
      </c>
      <c r="B4" s="6" t="s">
        <v>4</v>
      </c>
      <c r="C4" s="6" t="s">
        <v>5</v>
      </c>
      <c r="D4" s="6" t="s">
        <v>6</v>
      </c>
      <c r="E4" s="6" t="s">
        <v>1541</v>
      </c>
      <c r="F4" s="6" t="s">
        <v>8</v>
      </c>
      <c r="G4" s="6" t="s">
        <v>9</v>
      </c>
      <c r="H4" s="6" t="s">
        <v>10</v>
      </c>
      <c r="I4" s="6" t="s">
        <v>11</v>
      </c>
      <c r="J4" s="5" t="s">
        <v>12</v>
      </c>
    </row>
    <row r="5" spans="1:10" s="3" customFormat="1" ht="36.950000000000003" customHeight="1" x14ac:dyDescent="0.15">
      <c r="A5" s="7">
        <v>1</v>
      </c>
      <c r="B5" s="8">
        <v>4726</v>
      </c>
      <c r="C5" s="9" t="s">
        <v>1548</v>
      </c>
      <c r="D5" s="10" t="s">
        <v>1549</v>
      </c>
      <c r="E5" s="11" t="s">
        <v>1550</v>
      </c>
      <c r="F5" s="11" t="s">
        <v>1551</v>
      </c>
      <c r="G5" s="10" t="s">
        <v>16</v>
      </c>
      <c r="H5" s="23" t="s">
        <v>1552</v>
      </c>
      <c r="I5" s="10">
        <v>53</v>
      </c>
      <c r="J5" s="9"/>
    </row>
    <row r="6" spans="1:10" s="3" customFormat="1" ht="42" customHeight="1" x14ac:dyDescent="0.15">
      <c r="A6" s="7">
        <v>2</v>
      </c>
      <c r="B6" s="8">
        <v>118</v>
      </c>
      <c r="C6" s="9" t="s">
        <v>1553</v>
      </c>
      <c r="D6" s="10" t="s">
        <v>1554</v>
      </c>
      <c r="E6" s="10" t="s">
        <v>1555</v>
      </c>
      <c r="F6" s="10" t="s">
        <v>1556</v>
      </c>
      <c r="G6" s="10" t="s">
        <v>222</v>
      </c>
      <c r="H6" s="23" t="s">
        <v>1557</v>
      </c>
      <c r="I6" s="11">
        <v>1000</v>
      </c>
      <c r="J6" s="9"/>
    </row>
    <row r="7" spans="1:10" s="3" customFormat="1" ht="32.1" customHeight="1" x14ac:dyDescent="0.15">
      <c r="A7" s="7">
        <v>3</v>
      </c>
      <c r="B7" s="8">
        <v>1</v>
      </c>
      <c r="C7" s="9" t="s">
        <v>1558</v>
      </c>
      <c r="D7" s="10" t="s">
        <v>1559</v>
      </c>
      <c r="E7" s="9" t="s">
        <v>1560</v>
      </c>
      <c r="F7" s="9" t="s">
        <v>1561</v>
      </c>
      <c r="G7" s="10" t="s">
        <v>217</v>
      </c>
      <c r="H7" s="23" t="s">
        <v>1562</v>
      </c>
      <c r="I7" s="11">
        <v>50</v>
      </c>
      <c r="J7" s="9"/>
    </row>
    <row r="8" spans="1:10" s="3" customFormat="1" ht="22.5" customHeight="1" x14ac:dyDescent="0.15">
      <c r="A8" s="7"/>
      <c r="B8" s="8"/>
      <c r="C8" s="9"/>
      <c r="D8" s="10"/>
      <c r="E8" s="9"/>
      <c r="F8" s="9"/>
      <c r="G8" s="10"/>
      <c r="H8" s="23"/>
      <c r="I8" s="11"/>
      <c r="J8" s="9"/>
    </row>
    <row r="9" spans="1:10" s="3" customFormat="1" ht="22.5" customHeight="1" x14ac:dyDescent="0.15">
      <c r="A9" s="7"/>
      <c r="B9" s="8"/>
      <c r="C9" s="9"/>
      <c r="D9" s="10"/>
      <c r="E9" s="9"/>
      <c r="F9" s="9"/>
      <c r="G9" s="10"/>
      <c r="H9" s="23"/>
      <c r="I9" s="11"/>
      <c r="J9" s="9"/>
    </row>
    <row r="10" spans="1:10" s="3" customFormat="1" ht="22.5" customHeight="1" x14ac:dyDescent="0.15">
      <c r="A10" s="7"/>
      <c r="B10" s="8"/>
      <c r="C10" s="9"/>
      <c r="D10" s="10"/>
      <c r="E10" s="9"/>
      <c r="F10" s="9"/>
      <c r="G10" s="10"/>
      <c r="H10" s="23"/>
      <c r="I10" s="11"/>
      <c r="J10" s="9"/>
    </row>
    <row r="11" spans="1:10" s="3" customFormat="1" ht="22.5" customHeight="1" x14ac:dyDescent="0.15">
      <c r="A11" s="7"/>
      <c r="B11" s="8"/>
      <c r="C11" s="9"/>
      <c r="D11" s="10"/>
      <c r="E11" s="9"/>
      <c r="F11" s="9"/>
      <c r="G11" s="10"/>
      <c r="H11" s="23"/>
      <c r="I11" s="11"/>
      <c r="J11" s="9"/>
    </row>
    <row r="12" spans="1:10" s="3" customFormat="1" ht="22.5" customHeight="1" x14ac:dyDescent="0.15">
      <c r="A12" s="7"/>
      <c r="B12" s="8"/>
      <c r="C12" s="9"/>
      <c r="D12" s="10"/>
      <c r="E12" s="9"/>
      <c r="F12" s="9"/>
      <c r="G12" s="10"/>
      <c r="H12" s="23"/>
      <c r="I12" s="11"/>
      <c r="J12" s="9"/>
    </row>
    <row r="13" spans="1:10" s="3" customFormat="1" ht="22.5" customHeight="1" x14ac:dyDescent="0.15">
      <c r="A13" s="7"/>
      <c r="B13" s="8"/>
      <c r="C13" s="9"/>
      <c r="D13" s="10"/>
      <c r="E13" s="9"/>
      <c r="F13" s="9"/>
      <c r="G13" s="10"/>
      <c r="H13" s="23"/>
      <c r="I13" s="11"/>
      <c r="J13" s="9"/>
    </row>
    <row r="14" spans="1:10" s="3" customFormat="1" ht="22.5" customHeight="1" x14ac:dyDescent="0.15">
      <c r="A14" s="7"/>
      <c r="B14" s="8"/>
      <c r="C14" s="9"/>
      <c r="D14" s="10"/>
      <c r="E14" s="9"/>
      <c r="F14" s="9"/>
      <c r="G14" s="10"/>
      <c r="H14" s="23"/>
      <c r="I14" s="11"/>
      <c r="J14" s="9"/>
    </row>
    <row r="15" spans="1:10" s="3" customFormat="1" ht="22.5" customHeight="1" x14ac:dyDescent="0.15">
      <c r="A15" s="7"/>
      <c r="B15" s="8"/>
      <c r="C15" s="9"/>
      <c r="D15" s="10"/>
      <c r="E15" s="9"/>
      <c r="F15" s="9"/>
      <c r="G15" s="10"/>
      <c r="H15" s="23"/>
      <c r="I15" s="11"/>
      <c r="J15" s="9"/>
    </row>
    <row r="16" spans="1:10" s="3" customFormat="1" ht="22.5" customHeight="1" x14ac:dyDescent="0.15">
      <c r="A16" s="7"/>
      <c r="B16" s="8"/>
      <c r="C16" s="9"/>
      <c r="D16" s="10"/>
      <c r="E16" s="9"/>
      <c r="F16" s="9"/>
      <c r="G16" s="10"/>
      <c r="H16" s="23"/>
      <c r="I16" s="11"/>
      <c r="J16" s="9"/>
    </row>
    <row r="17" spans="1:10" s="3" customFormat="1" ht="22.5" customHeight="1" x14ac:dyDescent="0.15">
      <c r="A17" s="7"/>
      <c r="B17" s="8"/>
      <c r="C17" s="9"/>
      <c r="D17" s="10"/>
      <c r="E17" s="9"/>
      <c r="F17" s="9"/>
      <c r="G17" s="10"/>
      <c r="H17" s="23"/>
      <c r="I17" s="11"/>
      <c r="J17" s="9"/>
    </row>
    <row r="18" spans="1:10" s="3" customFormat="1" ht="22.5" customHeight="1" x14ac:dyDescent="0.15">
      <c r="A18" s="7"/>
      <c r="B18" s="8"/>
      <c r="C18" s="9"/>
      <c r="D18" s="10"/>
      <c r="E18" s="9"/>
      <c r="F18" s="9"/>
      <c r="G18" s="10"/>
      <c r="H18" s="23"/>
      <c r="I18" s="11"/>
      <c r="J18" s="9"/>
    </row>
    <row r="19" spans="1:10" s="3" customFormat="1" ht="22.5" customHeight="1" x14ac:dyDescent="0.15">
      <c r="A19" s="7"/>
      <c r="B19" s="8"/>
      <c r="C19" s="9"/>
      <c r="D19" s="10"/>
      <c r="E19" s="9"/>
      <c r="F19" s="9"/>
      <c r="G19" s="10"/>
      <c r="H19" s="23"/>
      <c r="I19" s="11"/>
      <c r="J19" s="9"/>
    </row>
    <row r="20" spans="1:10" s="3" customFormat="1" ht="22.5" customHeight="1" x14ac:dyDescent="0.15">
      <c r="A20" s="7"/>
      <c r="B20" s="8"/>
      <c r="C20" s="9"/>
      <c r="D20" s="11"/>
      <c r="E20" s="11"/>
      <c r="F20" s="11"/>
      <c r="G20" s="10"/>
      <c r="H20" s="12"/>
      <c r="I20" s="11"/>
      <c r="J20" s="9"/>
    </row>
    <row r="21" spans="1:10" s="3" customFormat="1" ht="22.5" customHeight="1" x14ac:dyDescent="0.15">
      <c r="A21" s="7"/>
      <c r="B21" s="14" t="s">
        <v>216</v>
      </c>
      <c r="C21" s="9" t="s">
        <v>217</v>
      </c>
      <c r="D21" s="11">
        <v>0</v>
      </c>
      <c r="E21" s="11">
        <v>1</v>
      </c>
      <c r="F21" s="11">
        <v>1</v>
      </c>
      <c r="G21" s="10"/>
      <c r="H21" s="12"/>
      <c r="I21" s="11"/>
      <c r="J21" s="9"/>
    </row>
    <row r="22" spans="1:10" ht="22.5" customHeight="1" x14ac:dyDescent="0.15">
      <c r="A22" s="6"/>
      <c r="B22" s="14" t="s">
        <v>216</v>
      </c>
      <c r="C22" s="9" t="s">
        <v>218</v>
      </c>
      <c r="D22" s="9">
        <v>979</v>
      </c>
      <c r="E22" s="9">
        <v>0</v>
      </c>
      <c r="F22" s="9">
        <v>979</v>
      </c>
      <c r="G22" s="9"/>
      <c r="H22" s="9"/>
      <c r="I22" s="9"/>
      <c r="J22" s="16"/>
    </row>
    <row r="23" spans="1:10" ht="22.5" customHeight="1" x14ac:dyDescent="0.15">
      <c r="A23" s="6"/>
      <c r="B23" s="14" t="s">
        <v>216</v>
      </c>
      <c r="C23" s="8" t="s">
        <v>219</v>
      </c>
      <c r="D23" s="10">
        <v>411</v>
      </c>
      <c r="E23" s="11">
        <v>0</v>
      </c>
      <c r="F23" s="10">
        <v>411</v>
      </c>
      <c r="G23" s="9"/>
      <c r="H23" s="9"/>
      <c r="I23" s="9"/>
      <c r="J23" s="16"/>
    </row>
    <row r="24" spans="1:10" ht="22.5" customHeight="1" x14ac:dyDescent="0.15">
      <c r="A24" s="6"/>
      <c r="B24" s="14" t="s">
        <v>216</v>
      </c>
      <c r="C24" s="8" t="s">
        <v>220</v>
      </c>
      <c r="D24" s="10">
        <v>84</v>
      </c>
      <c r="E24" s="11">
        <v>0</v>
      </c>
      <c r="F24" s="10">
        <v>84</v>
      </c>
      <c r="G24" s="10"/>
      <c r="H24" s="10"/>
      <c r="I24" s="11"/>
      <c r="J24" s="16"/>
    </row>
    <row r="25" spans="1:10" ht="22.5" customHeight="1" x14ac:dyDescent="0.15">
      <c r="A25" s="6"/>
      <c r="B25" s="14" t="s">
        <v>216</v>
      </c>
      <c r="C25" s="8" t="s">
        <v>221</v>
      </c>
      <c r="D25" s="10">
        <v>1</v>
      </c>
      <c r="E25" s="11">
        <v>0</v>
      </c>
      <c r="F25" s="10">
        <v>1</v>
      </c>
      <c r="G25" s="10"/>
      <c r="H25" s="10"/>
      <c r="I25" s="11"/>
      <c r="J25" s="16"/>
    </row>
    <row r="26" spans="1:10" ht="22.5" customHeight="1" x14ac:dyDescent="0.15">
      <c r="A26" s="6"/>
      <c r="B26" s="14" t="s">
        <v>216</v>
      </c>
      <c r="C26" s="8" t="s">
        <v>16</v>
      </c>
      <c r="D26" s="10">
        <v>612</v>
      </c>
      <c r="E26" s="11">
        <v>1</v>
      </c>
      <c r="F26" s="10">
        <v>613</v>
      </c>
      <c r="G26" s="10"/>
      <c r="H26" s="10"/>
      <c r="I26" s="11"/>
      <c r="J26" s="16"/>
    </row>
    <row r="27" spans="1:10" ht="22.5" customHeight="1" x14ac:dyDescent="0.15">
      <c r="A27" s="6"/>
      <c r="B27" s="14" t="s">
        <v>216</v>
      </c>
      <c r="C27" s="8" t="s">
        <v>49</v>
      </c>
      <c r="D27" s="10">
        <v>821</v>
      </c>
      <c r="E27" s="11">
        <v>0</v>
      </c>
      <c r="F27" s="10">
        <v>821</v>
      </c>
      <c r="G27" s="10"/>
      <c r="H27" s="10"/>
      <c r="I27" s="11"/>
      <c r="J27" s="16"/>
    </row>
    <row r="28" spans="1:10" ht="22.5" customHeight="1" x14ac:dyDescent="0.15">
      <c r="A28" s="6"/>
      <c r="B28" s="14" t="s">
        <v>216</v>
      </c>
      <c r="C28" s="8" t="s">
        <v>21</v>
      </c>
      <c r="D28" s="10">
        <v>4547</v>
      </c>
      <c r="E28" s="11">
        <v>0</v>
      </c>
      <c r="F28" s="10">
        <v>4547</v>
      </c>
      <c r="G28" s="10"/>
      <c r="H28" s="10"/>
      <c r="I28" s="11"/>
      <c r="J28" s="16"/>
    </row>
    <row r="29" spans="1:10" ht="22.5" customHeight="1" x14ac:dyDescent="0.15">
      <c r="A29" s="6"/>
      <c r="B29" s="14" t="s">
        <v>216</v>
      </c>
      <c r="C29" s="15" t="s">
        <v>222</v>
      </c>
      <c r="D29" s="16">
        <v>38</v>
      </c>
      <c r="E29" s="14">
        <v>1</v>
      </c>
      <c r="F29" s="17">
        <v>39</v>
      </c>
      <c r="G29" s="16"/>
      <c r="H29" s="16"/>
      <c r="I29" s="14"/>
      <c r="J29" s="16"/>
    </row>
    <row r="30" spans="1:10" ht="22.5" customHeight="1" x14ac:dyDescent="0.15">
      <c r="A30" s="18"/>
      <c r="B30" s="18"/>
      <c r="C30" s="19"/>
      <c r="D30" s="19">
        <v>7496</v>
      </c>
      <c r="E30" s="18">
        <v>3</v>
      </c>
      <c r="F30" s="20">
        <v>7499</v>
      </c>
      <c r="G30" s="19"/>
      <c r="H30" s="19"/>
      <c r="I30" s="18"/>
      <c r="J30" s="18"/>
    </row>
    <row r="31" spans="1:10" ht="39.950000000000003" customHeight="1" x14ac:dyDescent="0.15">
      <c r="A31" s="19" t="s">
        <v>1563</v>
      </c>
      <c r="B31" s="19"/>
      <c r="C31" s="21" t="s">
        <v>1564</v>
      </c>
      <c r="D31" s="21"/>
      <c r="E31" s="22"/>
      <c r="F31" s="21"/>
      <c r="G31" s="21"/>
      <c r="H31" s="22"/>
      <c r="I31" s="22"/>
      <c r="J31" s="22"/>
    </row>
    <row r="32" spans="1:10" ht="6.75" customHeight="1" x14ac:dyDescent="0.15">
      <c r="A32" s="19"/>
      <c r="B32" s="19"/>
      <c r="C32" s="21"/>
      <c r="D32" s="21"/>
      <c r="E32" s="22"/>
      <c r="F32" s="21"/>
      <c r="G32" s="21"/>
      <c r="H32" s="22"/>
      <c r="I32" s="22"/>
      <c r="J32" s="22"/>
    </row>
    <row r="33" spans="1:10" ht="36.950000000000003" customHeight="1" x14ac:dyDescent="0.15">
      <c r="A33" s="19"/>
      <c r="B33" s="19"/>
      <c r="C33" s="21" t="s">
        <v>1565</v>
      </c>
      <c r="D33" s="21"/>
      <c r="E33" s="22"/>
      <c r="F33" s="21"/>
      <c r="G33" s="21"/>
      <c r="H33" s="22"/>
      <c r="I33" s="22"/>
      <c r="J33" s="22"/>
    </row>
    <row r="34" spans="1:10" ht="2.25" customHeight="1" x14ac:dyDescent="0.15">
      <c r="A34" s="19"/>
      <c r="B34" s="19"/>
      <c r="C34" s="21"/>
      <c r="D34" s="21"/>
      <c r="E34" s="22"/>
      <c r="F34" s="21"/>
      <c r="G34" s="21"/>
      <c r="H34" s="22"/>
      <c r="I34" s="22"/>
      <c r="J34" s="22"/>
    </row>
    <row r="35" spans="1:10" ht="36" customHeight="1" x14ac:dyDescent="0.15">
      <c r="A35" s="19"/>
      <c r="B35" s="19"/>
      <c r="C35" s="21" t="s">
        <v>1566</v>
      </c>
      <c r="D35" s="21"/>
      <c r="E35" s="22"/>
      <c r="F35" s="21"/>
      <c r="G35" s="21"/>
      <c r="H35" s="22"/>
      <c r="I35" s="22"/>
      <c r="J35" s="22"/>
    </row>
    <row r="36" spans="1:10" ht="7.5" customHeight="1" x14ac:dyDescent="0.15">
      <c r="A36" s="19"/>
      <c r="B36" s="19"/>
      <c r="C36" s="21"/>
      <c r="D36" s="21"/>
      <c r="E36" s="22"/>
      <c r="F36" s="21"/>
      <c r="G36" s="21"/>
      <c r="H36" s="22"/>
      <c r="I36" s="22"/>
      <c r="J36" s="22"/>
    </row>
    <row r="37" spans="1:10" ht="35.1" customHeight="1" x14ac:dyDescent="0.15">
      <c r="A37" s="19"/>
      <c r="B37" s="19"/>
      <c r="C37" s="21" t="s">
        <v>1566</v>
      </c>
      <c r="D37" s="21"/>
      <c r="E37" s="22"/>
      <c r="F37" s="21"/>
      <c r="G37" s="21"/>
      <c r="H37" s="22"/>
      <c r="I37" s="22"/>
      <c r="J37" s="22"/>
    </row>
    <row r="38" spans="1:10" ht="9.75" customHeight="1" x14ac:dyDescent="0.15">
      <c r="A38" s="19"/>
      <c r="B38" s="19"/>
      <c r="C38" s="21"/>
      <c r="D38" s="21"/>
      <c r="E38" s="22"/>
      <c r="F38" s="21"/>
      <c r="G38" s="21"/>
      <c r="H38" s="22"/>
      <c r="I38" s="22"/>
      <c r="J38" s="22"/>
    </row>
    <row r="39" spans="1:10" ht="22.5" customHeight="1" x14ac:dyDescent="0.15">
      <c r="A39" s="18"/>
      <c r="B39" s="18"/>
      <c r="C39" s="19"/>
      <c r="D39" s="19"/>
      <c r="E39" s="18"/>
      <c r="F39" s="19"/>
      <c r="G39" s="19"/>
      <c r="H39" s="18"/>
      <c r="I39" s="18"/>
      <c r="J39" s="18"/>
    </row>
    <row r="40" spans="1:10" ht="22.5" customHeight="1" x14ac:dyDescent="0.15"/>
    <row r="41" spans="1:10" ht="22.5" customHeight="1" x14ac:dyDescent="0.15"/>
    <row r="75" spans="1:10" ht="13.5" x14ac:dyDescent="0.15">
      <c r="A75" s="62"/>
      <c r="B75" s="62"/>
      <c r="C75" s="63"/>
      <c r="D75" s="63"/>
      <c r="E75" s="62"/>
      <c r="F75" s="63"/>
      <c r="G75" s="63"/>
      <c r="H75" s="62"/>
      <c r="I75" s="62"/>
      <c r="J75" s="62"/>
    </row>
    <row r="76" spans="1:10" ht="13.5" x14ac:dyDescent="0.15">
      <c r="A76" s="62"/>
      <c r="B76" s="62"/>
      <c r="C76" s="63"/>
      <c r="D76" s="63"/>
      <c r="E76" s="62"/>
      <c r="F76" s="63"/>
      <c r="G76" s="63"/>
      <c r="H76" s="62"/>
      <c r="I76" s="62"/>
      <c r="J76" s="62"/>
    </row>
    <row r="77" spans="1:10" ht="13.5" x14ac:dyDescent="0.15">
      <c r="A77" s="62"/>
      <c r="B77" s="62"/>
      <c r="C77" s="63"/>
      <c r="D77" s="63"/>
      <c r="E77" s="62"/>
      <c r="F77" s="63"/>
      <c r="G77" s="63"/>
      <c r="H77" s="62"/>
      <c r="I77" s="62"/>
      <c r="J77" s="62"/>
    </row>
    <row r="78" spans="1:10" ht="13.5" x14ac:dyDescent="0.15">
      <c r="A78" s="62"/>
      <c r="B78" s="62"/>
      <c r="C78" s="63"/>
      <c r="D78" s="63"/>
      <c r="E78" s="62"/>
      <c r="F78" s="63"/>
      <c r="G78" s="63"/>
      <c r="H78" s="62"/>
      <c r="I78" s="62"/>
      <c r="J78" s="62"/>
    </row>
    <row r="79" spans="1:10" ht="13.5" x14ac:dyDescent="0.15">
      <c r="A79" s="62"/>
      <c r="B79" s="62"/>
      <c r="C79" s="63"/>
      <c r="D79" s="63"/>
      <c r="E79" s="62"/>
      <c r="F79" s="63"/>
      <c r="G79" s="63"/>
      <c r="H79" s="62"/>
      <c r="I79" s="62"/>
      <c r="J79" s="62"/>
    </row>
    <row r="80" spans="1:10" ht="13.5" x14ac:dyDescent="0.15">
      <c r="A80" s="62"/>
      <c r="B80" s="62"/>
      <c r="C80" s="63"/>
      <c r="D80" s="63"/>
      <c r="E80" s="62"/>
      <c r="F80" s="63"/>
      <c r="G80" s="63"/>
      <c r="H80" s="62"/>
      <c r="I80" s="62"/>
      <c r="J80" s="62"/>
    </row>
    <row r="81" spans="1:10" ht="13.5" x14ac:dyDescent="0.15">
      <c r="A81" s="62"/>
      <c r="B81" s="62"/>
      <c r="C81" s="63"/>
      <c r="D81" s="63"/>
      <c r="E81" s="62"/>
      <c r="F81" s="63"/>
      <c r="G81" s="63"/>
      <c r="H81" s="62"/>
      <c r="I81" s="62"/>
      <c r="J81" s="62"/>
    </row>
    <row r="82" spans="1:10" ht="13.5" x14ac:dyDescent="0.15">
      <c r="A82" s="62"/>
      <c r="B82" s="62"/>
      <c r="C82" s="63"/>
      <c r="D82" s="63"/>
      <c r="E82" s="62"/>
      <c r="F82" s="63"/>
      <c r="G82" s="63"/>
      <c r="H82" s="62"/>
      <c r="I82" s="62"/>
      <c r="J82" s="62"/>
    </row>
    <row r="83" spans="1:10" ht="13.5" x14ac:dyDescent="0.15">
      <c r="A83" s="62"/>
      <c r="B83" s="62"/>
      <c r="C83" s="63"/>
      <c r="D83" s="63"/>
      <c r="E83" s="62"/>
      <c r="F83" s="63"/>
      <c r="G83" s="63"/>
      <c r="H83" s="62"/>
      <c r="I83" s="62"/>
      <c r="J83" s="62"/>
    </row>
  </sheetData>
  <mergeCells count="9">
    <mergeCell ref="A1:J1"/>
    <mergeCell ref="A2:J2"/>
    <mergeCell ref="A3:J3"/>
    <mergeCell ref="A83:J83"/>
    <mergeCell ref="C79:J80"/>
    <mergeCell ref="C77:J78"/>
    <mergeCell ref="C75:J76"/>
    <mergeCell ref="C81:J82"/>
    <mergeCell ref="A75:B82"/>
  </mergeCells>
  <phoneticPr fontId="11" type="noConversion"/>
  <dataValidations count="1">
    <dataValidation type="list" allowBlank="1" showInputMessage="1" showErrorMessage="1" sqref="J22:J26 J27:J29" xr:uid="{00000000-0002-0000-0A00-000000000000}">
      <formula1>$U$2:$U$3</formula1>
    </dataValidation>
  </dataValidation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J171"/>
  <sheetViews>
    <sheetView topLeftCell="A91" workbookViewId="0">
      <selection activeCell="F115" sqref="F115"/>
    </sheetView>
  </sheetViews>
  <sheetFormatPr defaultColWidth="9" defaultRowHeight="23.25" customHeight="1" x14ac:dyDescent="0.15"/>
  <cols>
    <col min="1" max="1" width="3.75" style="2"/>
    <col min="2" max="2" width="7.25" style="2"/>
    <col min="3" max="3" width="21" style="4"/>
    <col min="4" max="4" width="19.5" style="4"/>
    <col min="5" max="5" width="10.125" style="2"/>
    <col min="6" max="6" width="11.5" style="4"/>
    <col min="7" max="7" width="9.875" style="4"/>
    <col min="8" max="8" width="18.5" style="2"/>
    <col min="9" max="9" width="6.875" style="2"/>
    <col min="10" max="10" width="6.75" style="2"/>
    <col min="11" max="16384" width="9" style="2"/>
  </cols>
  <sheetData>
    <row r="1" spans="1:10" s="1" customFormat="1" ht="22.5" customHeight="1" x14ac:dyDescent="0.15">
      <c r="A1" s="49" t="s">
        <v>0</v>
      </c>
      <c r="B1" s="49"/>
      <c r="C1" s="50"/>
      <c r="D1" s="50"/>
      <c r="E1" s="49"/>
      <c r="F1" s="50"/>
      <c r="G1" s="50"/>
      <c r="H1" s="49"/>
      <c r="I1" s="49"/>
      <c r="J1" s="49"/>
    </row>
    <row r="2" spans="1:10" s="1" customFormat="1" ht="22.5" customHeight="1" x14ac:dyDescent="0.15">
      <c r="A2" s="51" t="s">
        <v>1</v>
      </c>
      <c r="B2" s="51"/>
      <c r="C2" s="52"/>
      <c r="D2" s="52"/>
      <c r="E2" s="51"/>
      <c r="F2" s="52"/>
      <c r="G2" s="52"/>
      <c r="H2" s="51"/>
      <c r="I2" s="51"/>
      <c r="J2" s="51"/>
    </row>
    <row r="3" spans="1:10" s="1" customFormat="1" ht="22.5" customHeight="1" x14ac:dyDescent="0.15">
      <c r="A3" s="53" t="s">
        <v>1567</v>
      </c>
      <c r="B3" s="53"/>
      <c r="C3" s="54"/>
      <c r="D3" s="54"/>
      <c r="E3" s="53"/>
      <c r="F3" s="54"/>
      <c r="G3" s="54"/>
      <c r="H3" s="53"/>
      <c r="I3" s="53"/>
      <c r="J3" s="53"/>
    </row>
    <row r="4" spans="1:10" ht="22.5" customHeight="1" x14ac:dyDescent="0.15">
      <c r="A4" s="5" t="s">
        <v>3</v>
      </c>
      <c r="B4" s="6" t="s">
        <v>4</v>
      </c>
      <c r="C4" s="6" t="s">
        <v>5</v>
      </c>
      <c r="D4" s="6" t="s">
        <v>6</v>
      </c>
      <c r="E4" s="6" t="s">
        <v>1541</v>
      </c>
      <c r="F4" s="6" t="s">
        <v>8</v>
      </c>
      <c r="G4" s="6" t="s">
        <v>9</v>
      </c>
      <c r="H4" s="6" t="s">
        <v>10</v>
      </c>
      <c r="I4" s="6" t="s">
        <v>11</v>
      </c>
      <c r="J4" s="5" t="s">
        <v>12</v>
      </c>
    </row>
    <row r="5" spans="1:10" s="3" customFormat="1" ht="22.5" customHeight="1" x14ac:dyDescent="0.15">
      <c r="A5" s="7">
        <v>1</v>
      </c>
      <c r="B5" s="8">
        <v>1947</v>
      </c>
      <c r="C5" s="9" t="s">
        <v>1568</v>
      </c>
      <c r="D5" s="47" t="s">
        <v>1569</v>
      </c>
      <c r="E5" s="11" t="s">
        <v>1570</v>
      </c>
      <c r="F5" s="11" t="s">
        <v>1570</v>
      </c>
      <c r="G5" s="10" t="s">
        <v>263</v>
      </c>
      <c r="H5" s="12" t="s">
        <v>1571</v>
      </c>
      <c r="I5" s="11">
        <v>29.44</v>
      </c>
      <c r="J5" s="9"/>
    </row>
    <row r="6" spans="1:10" s="3" customFormat="1" ht="22.5" customHeight="1" x14ac:dyDescent="0.15">
      <c r="A6" s="7">
        <v>2</v>
      </c>
      <c r="B6" s="8">
        <v>1948</v>
      </c>
      <c r="C6" s="46" t="s">
        <v>1572</v>
      </c>
      <c r="D6" s="47" t="s">
        <v>1573</v>
      </c>
      <c r="E6" s="11" t="s">
        <v>1574</v>
      </c>
      <c r="F6" s="11" t="s">
        <v>1574</v>
      </c>
      <c r="G6" s="10" t="s">
        <v>1575</v>
      </c>
      <c r="H6" s="12" t="s">
        <v>1576</v>
      </c>
      <c r="I6" s="10">
        <v>10</v>
      </c>
      <c r="J6" s="9"/>
    </row>
    <row r="7" spans="1:10" s="3" customFormat="1" ht="22.5" customHeight="1" x14ac:dyDescent="0.15">
      <c r="A7" s="7">
        <v>3</v>
      </c>
      <c r="B7" s="8">
        <v>1949</v>
      </c>
      <c r="C7" s="46" t="s">
        <v>1577</v>
      </c>
      <c r="D7" s="47" t="s">
        <v>1578</v>
      </c>
      <c r="E7" s="11" t="s">
        <v>1579</v>
      </c>
      <c r="F7" s="11" t="s">
        <v>1579</v>
      </c>
      <c r="G7" s="10" t="s">
        <v>1575</v>
      </c>
      <c r="H7" s="12" t="s">
        <v>1580</v>
      </c>
      <c r="I7" s="11">
        <v>10</v>
      </c>
      <c r="J7" s="9"/>
    </row>
    <row r="8" spans="1:10" s="3" customFormat="1" ht="22.5" customHeight="1" x14ac:dyDescent="0.15">
      <c r="A8" s="7">
        <v>4</v>
      </c>
      <c r="B8" s="8">
        <v>1950</v>
      </c>
      <c r="C8" s="46" t="s">
        <v>1581</v>
      </c>
      <c r="D8" s="47" t="s">
        <v>1582</v>
      </c>
      <c r="E8" s="9" t="s">
        <v>1583</v>
      </c>
      <c r="F8" s="9" t="s">
        <v>1584</v>
      </c>
      <c r="G8" s="10" t="s">
        <v>1575</v>
      </c>
      <c r="H8" s="12" t="s">
        <v>1585</v>
      </c>
      <c r="I8" s="11">
        <v>100</v>
      </c>
      <c r="J8" s="9"/>
    </row>
    <row r="9" spans="1:10" s="3" customFormat="1" ht="22.5" customHeight="1" x14ac:dyDescent="0.15">
      <c r="A9" s="7">
        <v>5</v>
      </c>
      <c r="B9" s="8">
        <v>1951</v>
      </c>
      <c r="C9" s="46" t="s">
        <v>1586</v>
      </c>
      <c r="D9" s="46" t="s">
        <v>1587</v>
      </c>
      <c r="E9" s="9" t="s">
        <v>1588</v>
      </c>
      <c r="F9" s="9" t="s">
        <v>1589</v>
      </c>
      <c r="G9" s="10" t="s">
        <v>1575</v>
      </c>
      <c r="H9" s="12" t="s">
        <v>1590</v>
      </c>
      <c r="I9" s="8">
        <v>28</v>
      </c>
      <c r="J9" s="9"/>
    </row>
    <row r="10" spans="1:10" s="3" customFormat="1" ht="22.5" customHeight="1" x14ac:dyDescent="0.15">
      <c r="A10" s="7">
        <v>6</v>
      </c>
      <c r="B10" s="8">
        <v>1952</v>
      </c>
      <c r="C10" s="46" t="s">
        <v>1591</v>
      </c>
      <c r="D10" s="46" t="s">
        <v>1592</v>
      </c>
      <c r="E10" s="9" t="s">
        <v>1593</v>
      </c>
      <c r="F10" s="9" t="s">
        <v>1594</v>
      </c>
      <c r="G10" s="10" t="s">
        <v>1575</v>
      </c>
      <c r="H10" s="12" t="s">
        <v>1595</v>
      </c>
      <c r="I10" s="8">
        <v>20</v>
      </c>
      <c r="J10" s="9"/>
    </row>
    <row r="11" spans="1:10" s="3" customFormat="1" ht="22.5" customHeight="1" x14ac:dyDescent="0.15">
      <c r="A11" s="7">
        <v>7</v>
      </c>
      <c r="B11" s="8">
        <v>1953</v>
      </c>
      <c r="C11" s="46" t="s">
        <v>1596</v>
      </c>
      <c r="D11" s="48" t="s">
        <v>1597</v>
      </c>
      <c r="E11" s="11" t="s">
        <v>1598</v>
      </c>
      <c r="F11" s="11" t="s">
        <v>1598</v>
      </c>
      <c r="G11" s="10" t="s">
        <v>1575</v>
      </c>
      <c r="H11" s="12" t="s">
        <v>1599</v>
      </c>
      <c r="I11" s="11">
        <v>8</v>
      </c>
      <c r="J11" s="9"/>
    </row>
    <row r="12" spans="1:10" s="3" customFormat="1" ht="22.5" customHeight="1" x14ac:dyDescent="0.15">
      <c r="A12" s="7">
        <v>8</v>
      </c>
      <c r="B12" s="8">
        <v>1954</v>
      </c>
      <c r="C12" s="46" t="s">
        <v>1600</v>
      </c>
      <c r="D12" s="48" t="s">
        <v>1601</v>
      </c>
      <c r="E12" s="11" t="s">
        <v>1602</v>
      </c>
      <c r="F12" s="11" t="s">
        <v>1602</v>
      </c>
      <c r="G12" s="10" t="s">
        <v>1575</v>
      </c>
      <c r="H12" s="12" t="s">
        <v>1603</v>
      </c>
      <c r="I12" s="11">
        <v>8</v>
      </c>
      <c r="J12" s="9"/>
    </row>
    <row r="13" spans="1:10" s="3" customFormat="1" ht="22.5" customHeight="1" x14ac:dyDescent="0.15">
      <c r="A13" s="7">
        <v>9</v>
      </c>
      <c r="B13" s="8">
        <v>1955</v>
      </c>
      <c r="C13" s="46" t="s">
        <v>1604</v>
      </c>
      <c r="D13" s="48" t="s">
        <v>1605</v>
      </c>
      <c r="E13" s="11" t="s">
        <v>1606</v>
      </c>
      <c r="F13" s="11" t="s">
        <v>1606</v>
      </c>
      <c r="G13" s="10" t="s">
        <v>1575</v>
      </c>
      <c r="H13" s="12" t="s">
        <v>1607</v>
      </c>
      <c r="I13" s="11">
        <v>7</v>
      </c>
      <c r="J13" s="9"/>
    </row>
    <row r="14" spans="1:10" s="3" customFormat="1" ht="22.5" customHeight="1" x14ac:dyDescent="0.15">
      <c r="A14" s="7">
        <v>10</v>
      </c>
      <c r="B14" s="8">
        <v>1956</v>
      </c>
      <c r="C14" s="46" t="s">
        <v>1608</v>
      </c>
      <c r="D14" s="48" t="s">
        <v>1609</v>
      </c>
      <c r="E14" s="11" t="s">
        <v>1610</v>
      </c>
      <c r="F14" s="11" t="s">
        <v>1610</v>
      </c>
      <c r="G14" s="10" t="s">
        <v>1575</v>
      </c>
      <c r="H14" s="12" t="s">
        <v>1611</v>
      </c>
      <c r="I14" s="11">
        <v>17</v>
      </c>
      <c r="J14" s="9"/>
    </row>
    <row r="15" spans="1:10" s="3" customFormat="1" ht="22.5" customHeight="1" x14ac:dyDescent="0.15">
      <c r="A15" s="7">
        <v>11</v>
      </c>
      <c r="B15" s="8">
        <v>1957</v>
      </c>
      <c r="C15" s="46" t="s">
        <v>1612</v>
      </c>
      <c r="D15" s="47" t="s">
        <v>1613</v>
      </c>
      <c r="E15" s="11" t="s">
        <v>1614</v>
      </c>
      <c r="F15" s="11" t="s">
        <v>1614</v>
      </c>
      <c r="G15" s="10" t="s">
        <v>1575</v>
      </c>
      <c r="H15" s="12" t="s">
        <v>1615</v>
      </c>
      <c r="I15" s="11">
        <v>10</v>
      </c>
      <c r="J15" s="9"/>
    </row>
    <row r="16" spans="1:10" s="3" customFormat="1" ht="22.5" customHeight="1" x14ac:dyDescent="0.15">
      <c r="A16" s="7">
        <v>12</v>
      </c>
      <c r="B16" s="8">
        <v>1958</v>
      </c>
      <c r="C16" s="46" t="s">
        <v>1616</v>
      </c>
      <c r="D16" s="48" t="s">
        <v>1617</v>
      </c>
      <c r="E16" s="11" t="s">
        <v>1618</v>
      </c>
      <c r="F16" s="11" t="s">
        <v>1618</v>
      </c>
      <c r="G16" s="10" t="s">
        <v>1575</v>
      </c>
      <c r="H16" s="12" t="s">
        <v>1619</v>
      </c>
      <c r="I16" s="11">
        <v>27.5</v>
      </c>
      <c r="J16" s="9"/>
    </row>
    <row r="17" spans="1:10" s="3" customFormat="1" ht="22.5" customHeight="1" x14ac:dyDescent="0.15">
      <c r="A17" s="7">
        <v>13</v>
      </c>
      <c r="B17" s="8">
        <v>1959</v>
      </c>
      <c r="C17" s="46" t="s">
        <v>1620</v>
      </c>
      <c r="D17" s="48" t="s">
        <v>1621</v>
      </c>
      <c r="E17" s="11" t="s">
        <v>1622</v>
      </c>
      <c r="F17" s="11" t="s">
        <v>1622</v>
      </c>
      <c r="G17" s="10" t="s">
        <v>1575</v>
      </c>
      <c r="H17" s="12" t="s">
        <v>1623</v>
      </c>
      <c r="I17" s="11">
        <v>28</v>
      </c>
      <c r="J17" s="9"/>
    </row>
    <row r="18" spans="1:10" s="3" customFormat="1" ht="22.5" customHeight="1" x14ac:dyDescent="0.15">
      <c r="A18" s="7">
        <v>14</v>
      </c>
      <c r="B18" s="8">
        <v>1960</v>
      </c>
      <c r="C18" s="46" t="s">
        <v>1624</v>
      </c>
      <c r="D18" s="48" t="s">
        <v>1625</v>
      </c>
      <c r="E18" s="11" t="s">
        <v>1626</v>
      </c>
      <c r="F18" s="11" t="s">
        <v>1626</v>
      </c>
      <c r="G18" s="10" t="s">
        <v>1575</v>
      </c>
      <c r="H18" s="12" t="s">
        <v>1627</v>
      </c>
      <c r="I18" s="11">
        <v>5</v>
      </c>
      <c r="J18" s="9"/>
    </row>
    <row r="19" spans="1:10" s="3" customFormat="1" ht="22.5" customHeight="1" x14ac:dyDescent="0.15">
      <c r="A19" s="7">
        <v>15</v>
      </c>
      <c r="B19" s="8">
        <v>1961</v>
      </c>
      <c r="C19" s="9" t="s">
        <v>1628</v>
      </c>
      <c r="D19" s="47" t="s">
        <v>1629</v>
      </c>
      <c r="E19" s="11" t="s">
        <v>1630</v>
      </c>
      <c r="F19" s="11" t="s">
        <v>1630</v>
      </c>
      <c r="G19" s="10" t="s">
        <v>263</v>
      </c>
      <c r="H19" s="12" t="s">
        <v>1631</v>
      </c>
      <c r="I19" s="11">
        <v>6</v>
      </c>
      <c r="J19" s="9"/>
    </row>
    <row r="20" spans="1:10" s="3" customFormat="1" ht="22.5" customHeight="1" x14ac:dyDescent="0.15">
      <c r="A20" s="7">
        <v>16</v>
      </c>
      <c r="B20" s="8">
        <v>1962</v>
      </c>
      <c r="C20" s="9" t="s">
        <v>1632</v>
      </c>
      <c r="D20" s="47" t="s">
        <v>1633</v>
      </c>
      <c r="E20" s="11" t="s">
        <v>1634</v>
      </c>
      <c r="F20" s="11" t="s">
        <v>1634</v>
      </c>
      <c r="G20" s="10" t="s">
        <v>263</v>
      </c>
      <c r="H20" s="12" t="s">
        <v>1635</v>
      </c>
      <c r="I20" s="11">
        <v>13.25</v>
      </c>
      <c r="J20" s="9"/>
    </row>
    <row r="21" spans="1:10" s="3" customFormat="1" ht="22.5" customHeight="1" x14ac:dyDescent="0.15">
      <c r="A21" s="7">
        <v>17</v>
      </c>
      <c r="B21" s="8">
        <v>1963</v>
      </c>
      <c r="C21" s="9" t="s">
        <v>1636</v>
      </c>
      <c r="D21" s="47" t="s">
        <v>1637</v>
      </c>
      <c r="E21" s="11" t="s">
        <v>1638</v>
      </c>
      <c r="F21" s="11" t="s">
        <v>1638</v>
      </c>
      <c r="G21" s="10" t="s">
        <v>263</v>
      </c>
      <c r="H21" s="12" t="s">
        <v>1639</v>
      </c>
      <c r="I21" s="11">
        <v>20</v>
      </c>
      <c r="J21" s="9"/>
    </row>
    <row r="22" spans="1:10" s="3" customFormat="1" ht="22.5" customHeight="1" x14ac:dyDescent="0.15">
      <c r="A22" s="7">
        <v>18</v>
      </c>
      <c r="B22" s="8">
        <v>1964</v>
      </c>
      <c r="C22" s="9" t="s">
        <v>1640</v>
      </c>
      <c r="D22" s="47" t="s">
        <v>1641</v>
      </c>
      <c r="E22" s="11" t="s">
        <v>1642</v>
      </c>
      <c r="F22" s="11" t="s">
        <v>1642</v>
      </c>
      <c r="G22" s="10" t="s">
        <v>263</v>
      </c>
      <c r="H22" s="12" t="s">
        <v>1643</v>
      </c>
      <c r="I22" s="11">
        <v>27</v>
      </c>
      <c r="J22" s="9"/>
    </row>
    <row r="23" spans="1:10" s="3" customFormat="1" ht="22.5" customHeight="1" x14ac:dyDescent="0.15">
      <c r="A23" s="7">
        <v>19</v>
      </c>
      <c r="B23" s="8">
        <v>1965</v>
      </c>
      <c r="C23" s="9" t="s">
        <v>1644</v>
      </c>
      <c r="D23" s="48" t="s">
        <v>1645</v>
      </c>
      <c r="E23" s="11" t="s">
        <v>1646</v>
      </c>
      <c r="F23" s="11" t="s">
        <v>1646</v>
      </c>
      <c r="G23" s="10" t="s">
        <v>263</v>
      </c>
      <c r="H23" s="12" t="s">
        <v>1647</v>
      </c>
      <c r="I23" s="11">
        <v>27.8</v>
      </c>
      <c r="J23" s="9"/>
    </row>
    <row r="24" spans="1:10" s="3" customFormat="1" ht="22.5" customHeight="1" x14ac:dyDescent="0.15">
      <c r="A24" s="7">
        <v>20</v>
      </c>
      <c r="B24" s="8">
        <v>1966</v>
      </c>
      <c r="C24" s="9" t="s">
        <v>1648</v>
      </c>
      <c r="D24" s="48" t="s">
        <v>1649</v>
      </c>
      <c r="E24" s="11" t="s">
        <v>1650</v>
      </c>
      <c r="F24" s="11" t="s">
        <v>1650</v>
      </c>
      <c r="G24" s="10" t="s">
        <v>263</v>
      </c>
      <c r="H24" s="12" t="s">
        <v>1651</v>
      </c>
      <c r="I24" s="11">
        <v>26</v>
      </c>
      <c r="J24" s="9"/>
    </row>
    <row r="25" spans="1:10" s="3" customFormat="1" ht="22.5" customHeight="1" x14ac:dyDescent="0.15">
      <c r="A25" s="7">
        <v>21</v>
      </c>
      <c r="B25" s="8">
        <v>1967</v>
      </c>
      <c r="C25" s="9" t="s">
        <v>1652</v>
      </c>
      <c r="D25" s="48" t="s">
        <v>1653</v>
      </c>
      <c r="E25" s="11" t="s">
        <v>1654</v>
      </c>
      <c r="F25" s="11" t="s">
        <v>1654</v>
      </c>
      <c r="G25" s="10" t="s">
        <v>263</v>
      </c>
      <c r="H25" s="12" t="s">
        <v>1655</v>
      </c>
      <c r="I25" s="11">
        <v>21.92</v>
      </c>
      <c r="J25" s="9"/>
    </row>
    <row r="26" spans="1:10" s="3" customFormat="1" ht="22.5" customHeight="1" x14ac:dyDescent="0.15">
      <c r="A26" s="7">
        <v>22</v>
      </c>
      <c r="B26" s="8">
        <v>1968</v>
      </c>
      <c r="C26" s="9" t="s">
        <v>1656</v>
      </c>
      <c r="D26" s="48" t="s">
        <v>1657</v>
      </c>
      <c r="E26" s="11" t="s">
        <v>1658</v>
      </c>
      <c r="F26" s="11" t="s">
        <v>1658</v>
      </c>
      <c r="G26" s="10" t="s">
        <v>263</v>
      </c>
      <c r="H26" s="12" t="s">
        <v>1659</v>
      </c>
      <c r="I26" s="11">
        <v>29</v>
      </c>
      <c r="J26" s="9"/>
    </row>
    <row r="27" spans="1:10" s="3" customFormat="1" ht="22.5" customHeight="1" x14ac:dyDescent="0.15">
      <c r="A27" s="7">
        <v>23</v>
      </c>
      <c r="B27" s="8">
        <v>1969</v>
      </c>
      <c r="C27" s="9" t="s">
        <v>1660</v>
      </c>
      <c r="D27" s="48" t="s">
        <v>1661</v>
      </c>
      <c r="E27" s="11" t="s">
        <v>1662</v>
      </c>
      <c r="F27" s="11" t="s">
        <v>1662</v>
      </c>
      <c r="G27" s="10" t="s">
        <v>263</v>
      </c>
      <c r="H27" s="12" t="s">
        <v>1663</v>
      </c>
      <c r="I27" s="11">
        <v>16.5</v>
      </c>
      <c r="J27" s="9"/>
    </row>
    <row r="28" spans="1:10" s="3" customFormat="1" ht="22.5" customHeight="1" x14ac:dyDescent="0.15">
      <c r="A28" s="7">
        <v>24</v>
      </c>
      <c r="B28" s="8">
        <v>1970</v>
      </c>
      <c r="C28" s="9" t="s">
        <v>1664</v>
      </c>
      <c r="D28" s="48" t="s">
        <v>1665</v>
      </c>
      <c r="E28" s="11" t="s">
        <v>1666</v>
      </c>
      <c r="F28" s="11" t="s">
        <v>1666</v>
      </c>
      <c r="G28" s="10" t="s">
        <v>263</v>
      </c>
      <c r="H28" s="12" t="s">
        <v>1667</v>
      </c>
      <c r="I28" s="11">
        <v>8</v>
      </c>
      <c r="J28" s="9"/>
    </row>
    <row r="29" spans="1:10" s="3" customFormat="1" ht="22.5" customHeight="1" x14ac:dyDescent="0.15">
      <c r="A29" s="7">
        <v>25</v>
      </c>
      <c r="B29" s="8">
        <v>1971</v>
      </c>
      <c r="C29" s="9" t="s">
        <v>1668</v>
      </c>
      <c r="D29" s="48" t="s">
        <v>1669</v>
      </c>
      <c r="E29" s="11" t="s">
        <v>1670</v>
      </c>
      <c r="F29" s="11" t="s">
        <v>1670</v>
      </c>
      <c r="G29" s="10" t="s">
        <v>263</v>
      </c>
      <c r="H29" s="12" t="s">
        <v>1671</v>
      </c>
      <c r="I29" s="11">
        <v>5</v>
      </c>
      <c r="J29" s="9"/>
    </row>
    <row r="30" spans="1:10" s="3" customFormat="1" ht="22.5" customHeight="1" x14ac:dyDescent="0.15">
      <c r="A30" s="7">
        <v>26</v>
      </c>
      <c r="B30" s="8">
        <v>1972</v>
      </c>
      <c r="C30" s="9" t="s">
        <v>1672</v>
      </c>
      <c r="D30" s="48" t="s">
        <v>1673</v>
      </c>
      <c r="E30" s="11" t="s">
        <v>1674</v>
      </c>
      <c r="F30" s="11" t="s">
        <v>1674</v>
      </c>
      <c r="G30" s="10" t="s">
        <v>263</v>
      </c>
      <c r="H30" s="12" t="s">
        <v>1675</v>
      </c>
      <c r="I30" s="11">
        <v>15</v>
      </c>
      <c r="J30" s="9"/>
    </row>
    <row r="31" spans="1:10" s="3" customFormat="1" ht="22.5" customHeight="1" x14ac:dyDescent="0.15">
      <c r="A31" s="7">
        <v>27</v>
      </c>
      <c r="B31" s="8">
        <v>1973</v>
      </c>
      <c r="C31" s="9" t="s">
        <v>1676</v>
      </c>
      <c r="D31" s="48" t="s">
        <v>1677</v>
      </c>
      <c r="E31" s="11" t="s">
        <v>1678</v>
      </c>
      <c r="F31" s="11" t="s">
        <v>1678</v>
      </c>
      <c r="G31" s="10" t="s">
        <v>263</v>
      </c>
      <c r="H31" s="12" t="s">
        <v>1679</v>
      </c>
      <c r="I31" s="11">
        <v>10</v>
      </c>
      <c r="J31" s="9"/>
    </row>
    <row r="32" spans="1:10" s="3" customFormat="1" ht="22.5" customHeight="1" x14ac:dyDescent="0.15">
      <c r="A32" s="7">
        <v>28</v>
      </c>
      <c r="B32" s="8">
        <v>1974</v>
      </c>
      <c r="C32" s="9" t="s">
        <v>1680</v>
      </c>
      <c r="D32" s="48" t="s">
        <v>1681</v>
      </c>
      <c r="E32" s="11" t="s">
        <v>1682</v>
      </c>
      <c r="F32" s="11" t="s">
        <v>1682</v>
      </c>
      <c r="G32" s="10" t="s">
        <v>263</v>
      </c>
      <c r="H32" s="12" t="s">
        <v>1683</v>
      </c>
      <c r="I32" s="11">
        <v>27</v>
      </c>
      <c r="J32" s="9"/>
    </row>
    <row r="33" spans="1:10" s="3" customFormat="1" ht="22.5" customHeight="1" x14ac:dyDescent="0.15">
      <c r="A33" s="7">
        <v>29</v>
      </c>
      <c r="B33" s="8">
        <v>1975</v>
      </c>
      <c r="C33" s="9" t="s">
        <v>1684</v>
      </c>
      <c r="D33" s="48" t="s">
        <v>1685</v>
      </c>
      <c r="E33" s="11" t="s">
        <v>1686</v>
      </c>
      <c r="F33" s="11" t="s">
        <v>1686</v>
      </c>
      <c r="G33" s="10" t="s">
        <v>263</v>
      </c>
      <c r="H33" s="12" t="s">
        <v>1687</v>
      </c>
      <c r="I33" s="11">
        <v>18</v>
      </c>
      <c r="J33" s="9"/>
    </row>
    <row r="34" spans="1:10" s="3" customFormat="1" ht="22.5" customHeight="1" x14ac:dyDescent="0.15">
      <c r="A34" s="7">
        <v>30</v>
      </c>
      <c r="B34" s="8">
        <v>1976</v>
      </c>
      <c r="C34" s="9" t="s">
        <v>1688</v>
      </c>
      <c r="D34" s="48" t="s">
        <v>1689</v>
      </c>
      <c r="E34" s="11" t="s">
        <v>1690</v>
      </c>
      <c r="F34" s="11" t="s">
        <v>1690</v>
      </c>
      <c r="G34" s="10" t="s">
        <v>263</v>
      </c>
      <c r="H34" s="12" t="s">
        <v>1691</v>
      </c>
      <c r="I34" s="11">
        <v>24</v>
      </c>
      <c r="J34" s="9"/>
    </row>
    <row r="35" spans="1:10" s="3" customFormat="1" ht="22.5" customHeight="1" x14ac:dyDescent="0.15">
      <c r="A35" s="7">
        <v>31</v>
      </c>
      <c r="B35" s="8">
        <v>1977</v>
      </c>
      <c r="C35" s="9" t="s">
        <v>1692</v>
      </c>
      <c r="D35" s="48" t="s">
        <v>1693</v>
      </c>
      <c r="E35" s="11" t="s">
        <v>1694</v>
      </c>
      <c r="F35" s="11" t="s">
        <v>1694</v>
      </c>
      <c r="G35" s="10" t="s">
        <v>263</v>
      </c>
      <c r="H35" s="12" t="s">
        <v>1695</v>
      </c>
      <c r="I35" s="11">
        <v>7.5</v>
      </c>
      <c r="J35" s="9"/>
    </row>
    <row r="36" spans="1:10" s="3" customFormat="1" ht="22.5" customHeight="1" x14ac:dyDescent="0.15">
      <c r="A36" s="7">
        <v>32</v>
      </c>
      <c r="B36" s="8">
        <v>1978</v>
      </c>
      <c r="C36" s="9" t="s">
        <v>1696</v>
      </c>
      <c r="D36" s="48" t="s">
        <v>1697</v>
      </c>
      <c r="E36" s="11" t="s">
        <v>1698</v>
      </c>
      <c r="F36" s="11" t="s">
        <v>1698</v>
      </c>
      <c r="G36" s="10" t="s">
        <v>263</v>
      </c>
      <c r="H36" s="12" t="s">
        <v>1699</v>
      </c>
      <c r="I36" s="11">
        <v>20.9</v>
      </c>
      <c r="J36" s="9"/>
    </row>
    <row r="37" spans="1:10" s="3" customFormat="1" ht="22.5" customHeight="1" x14ac:dyDescent="0.15">
      <c r="A37" s="7">
        <v>33</v>
      </c>
      <c r="B37" s="8">
        <v>1979</v>
      </c>
      <c r="C37" s="9" t="s">
        <v>1700</v>
      </c>
      <c r="D37" s="11" t="s">
        <v>164</v>
      </c>
      <c r="E37" s="11" t="s">
        <v>165</v>
      </c>
      <c r="F37" s="11" t="s">
        <v>165</v>
      </c>
      <c r="G37" s="10" t="s">
        <v>263</v>
      </c>
      <c r="H37" s="12" t="s">
        <v>1701</v>
      </c>
      <c r="I37" s="11">
        <v>25</v>
      </c>
      <c r="J37" s="9"/>
    </row>
    <row r="38" spans="1:10" s="3" customFormat="1" ht="22.5" customHeight="1" x14ac:dyDescent="0.15">
      <c r="A38" s="7">
        <v>34</v>
      </c>
      <c r="B38" s="8">
        <v>1980</v>
      </c>
      <c r="C38" s="9" t="s">
        <v>1702</v>
      </c>
      <c r="D38" s="47" t="s">
        <v>1703</v>
      </c>
      <c r="E38" s="11" t="s">
        <v>1704</v>
      </c>
      <c r="F38" s="11" t="s">
        <v>1704</v>
      </c>
      <c r="G38" s="10" t="s">
        <v>263</v>
      </c>
      <c r="H38" s="12" t="s">
        <v>1705</v>
      </c>
      <c r="I38" s="11">
        <v>16.3</v>
      </c>
      <c r="J38" s="9"/>
    </row>
    <row r="39" spans="1:10" s="3" customFormat="1" ht="22.5" customHeight="1" x14ac:dyDescent="0.15">
      <c r="A39" s="7">
        <v>35</v>
      </c>
      <c r="B39" s="8">
        <v>1981</v>
      </c>
      <c r="C39" s="9" t="s">
        <v>1706</v>
      </c>
      <c r="D39" s="48" t="s">
        <v>1707</v>
      </c>
      <c r="E39" s="11" t="s">
        <v>1708</v>
      </c>
      <c r="F39" s="11" t="s">
        <v>1708</v>
      </c>
      <c r="G39" s="10" t="s">
        <v>263</v>
      </c>
      <c r="H39" s="12" t="s">
        <v>1709</v>
      </c>
      <c r="I39" s="11">
        <v>26</v>
      </c>
      <c r="J39" s="9"/>
    </row>
    <row r="40" spans="1:10" s="3" customFormat="1" ht="22.5" customHeight="1" x14ac:dyDescent="0.15">
      <c r="A40" s="7">
        <v>36</v>
      </c>
      <c r="B40" s="8">
        <v>1982</v>
      </c>
      <c r="C40" s="9" t="s">
        <v>1710</v>
      </c>
      <c r="D40" s="48" t="s">
        <v>1711</v>
      </c>
      <c r="E40" s="11" t="s">
        <v>1712</v>
      </c>
      <c r="F40" s="11" t="s">
        <v>1712</v>
      </c>
      <c r="G40" s="10" t="s">
        <v>263</v>
      </c>
      <c r="H40" s="12" t="s">
        <v>1713</v>
      </c>
      <c r="I40" s="11">
        <v>43</v>
      </c>
      <c r="J40" s="9"/>
    </row>
    <row r="41" spans="1:10" s="3" customFormat="1" ht="22.5" customHeight="1" x14ac:dyDescent="0.15">
      <c r="A41" s="7">
        <v>37</v>
      </c>
      <c r="B41" s="8">
        <v>1983</v>
      </c>
      <c r="C41" s="9" t="s">
        <v>1714</v>
      </c>
      <c r="D41" s="48" t="s">
        <v>1715</v>
      </c>
      <c r="E41" s="11" t="s">
        <v>1716</v>
      </c>
      <c r="F41" s="11" t="s">
        <v>1716</v>
      </c>
      <c r="G41" s="10" t="s">
        <v>263</v>
      </c>
      <c r="H41" s="12" t="s">
        <v>1717</v>
      </c>
      <c r="I41" s="11">
        <v>24.6</v>
      </c>
      <c r="J41" s="9"/>
    </row>
    <row r="42" spans="1:10" s="3" customFormat="1" ht="22.5" customHeight="1" x14ac:dyDescent="0.15">
      <c r="A42" s="7">
        <v>38</v>
      </c>
      <c r="B42" s="8">
        <v>1984</v>
      </c>
      <c r="C42" s="9" t="s">
        <v>1718</v>
      </c>
      <c r="D42" s="48" t="s">
        <v>1719</v>
      </c>
      <c r="E42" s="11" t="s">
        <v>1720</v>
      </c>
      <c r="F42" s="11" t="s">
        <v>1720</v>
      </c>
      <c r="G42" s="10" t="s">
        <v>263</v>
      </c>
      <c r="H42" s="12" t="s">
        <v>1721</v>
      </c>
      <c r="I42" s="11">
        <v>21.2</v>
      </c>
      <c r="J42" s="9"/>
    </row>
    <row r="43" spans="1:10" s="3" customFormat="1" ht="22.5" customHeight="1" x14ac:dyDescent="0.15">
      <c r="A43" s="7">
        <v>39</v>
      </c>
      <c r="B43" s="8">
        <v>1985</v>
      </c>
      <c r="C43" s="9" t="s">
        <v>1722</v>
      </c>
      <c r="D43" s="48" t="s">
        <v>1723</v>
      </c>
      <c r="E43" s="11" t="s">
        <v>1724</v>
      </c>
      <c r="F43" s="11" t="s">
        <v>1724</v>
      </c>
      <c r="G43" s="10" t="s">
        <v>263</v>
      </c>
      <c r="H43" s="12" t="s">
        <v>1725</v>
      </c>
      <c r="I43" s="11">
        <v>18</v>
      </c>
      <c r="J43" s="9"/>
    </row>
    <row r="44" spans="1:10" s="3" customFormat="1" ht="22.5" customHeight="1" x14ac:dyDescent="0.15">
      <c r="A44" s="7">
        <v>40</v>
      </c>
      <c r="B44" s="8">
        <v>1986</v>
      </c>
      <c r="C44" s="9" t="s">
        <v>1726</v>
      </c>
      <c r="D44" s="48" t="s">
        <v>1727</v>
      </c>
      <c r="E44" s="11" t="s">
        <v>1728</v>
      </c>
      <c r="F44" s="11" t="s">
        <v>1728</v>
      </c>
      <c r="G44" s="10" t="s">
        <v>263</v>
      </c>
      <c r="H44" s="12" t="s">
        <v>1729</v>
      </c>
      <c r="I44" s="11">
        <v>24.2</v>
      </c>
      <c r="J44" s="9"/>
    </row>
    <row r="45" spans="1:10" s="3" customFormat="1" ht="22.5" customHeight="1" x14ac:dyDescent="0.15">
      <c r="A45" s="7">
        <v>41</v>
      </c>
      <c r="B45" s="8">
        <v>1987</v>
      </c>
      <c r="C45" s="9" t="s">
        <v>1730</v>
      </c>
      <c r="D45" s="48" t="s">
        <v>1731</v>
      </c>
      <c r="E45" s="11" t="s">
        <v>1732</v>
      </c>
      <c r="F45" s="11" t="s">
        <v>1732</v>
      </c>
      <c r="G45" s="10" t="s">
        <v>263</v>
      </c>
      <c r="H45" s="12" t="s">
        <v>1733</v>
      </c>
      <c r="I45" s="11">
        <v>24</v>
      </c>
      <c r="J45" s="9"/>
    </row>
    <row r="46" spans="1:10" s="3" customFormat="1" ht="22.5" customHeight="1" x14ac:dyDescent="0.15">
      <c r="A46" s="7">
        <v>42</v>
      </c>
      <c r="B46" s="8">
        <v>1988</v>
      </c>
      <c r="C46" s="9" t="s">
        <v>1734</v>
      </c>
      <c r="D46" s="48" t="s">
        <v>1735</v>
      </c>
      <c r="E46" s="11" t="s">
        <v>1736</v>
      </c>
      <c r="F46" s="11" t="s">
        <v>1736</v>
      </c>
      <c r="G46" s="10" t="s">
        <v>263</v>
      </c>
      <c r="H46" s="12" t="s">
        <v>1737</v>
      </c>
      <c r="I46" s="11">
        <v>7</v>
      </c>
      <c r="J46" s="9"/>
    </row>
    <row r="47" spans="1:10" s="3" customFormat="1" ht="22.5" customHeight="1" x14ac:dyDescent="0.15">
      <c r="A47" s="7">
        <v>43</v>
      </c>
      <c r="B47" s="8">
        <v>1989</v>
      </c>
      <c r="C47" s="9" t="s">
        <v>1738</v>
      </c>
      <c r="D47" s="48" t="s">
        <v>1739</v>
      </c>
      <c r="E47" s="11" t="s">
        <v>1740</v>
      </c>
      <c r="F47" s="11" t="s">
        <v>1740</v>
      </c>
      <c r="G47" s="10" t="s">
        <v>263</v>
      </c>
      <c r="H47" s="12" t="s">
        <v>1741</v>
      </c>
      <c r="I47" s="11">
        <v>17.8</v>
      </c>
      <c r="J47" s="9"/>
    </row>
    <row r="48" spans="1:10" s="3" customFormat="1" ht="22.5" customHeight="1" x14ac:dyDescent="0.15">
      <c r="A48" s="7">
        <v>44</v>
      </c>
      <c r="B48" s="8">
        <v>1990</v>
      </c>
      <c r="C48" s="9" t="s">
        <v>1742</v>
      </c>
      <c r="D48" s="48" t="s">
        <v>1743</v>
      </c>
      <c r="E48" s="11" t="s">
        <v>1744</v>
      </c>
      <c r="F48" s="11" t="s">
        <v>1744</v>
      </c>
      <c r="G48" s="10" t="s">
        <v>263</v>
      </c>
      <c r="H48" s="12" t="s">
        <v>1745</v>
      </c>
      <c r="I48" s="11">
        <v>18</v>
      </c>
      <c r="J48" s="9"/>
    </row>
    <row r="49" spans="1:10" s="3" customFormat="1" ht="22.5" customHeight="1" x14ac:dyDescent="0.15">
      <c r="A49" s="7">
        <v>45</v>
      </c>
      <c r="B49" s="8">
        <v>1991</v>
      </c>
      <c r="C49" s="9" t="s">
        <v>1746</v>
      </c>
      <c r="D49" s="48" t="s">
        <v>1747</v>
      </c>
      <c r="E49" s="11" t="s">
        <v>1748</v>
      </c>
      <c r="F49" s="11" t="s">
        <v>1748</v>
      </c>
      <c r="G49" s="10" t="s">
        <v>263</v>
      </c>
      <c r="H49" s="12" t="s">
        <v>1749</v>
      </c>
      <c r="I49" s="11">
        <v>17.600000000000001</v>
      </c>
      <c r="J49" s="9"/>
    </row>
    <row r="50" spans="1:10" s="3" customFormat="1" ht="22.5" customHeight="1" x14ac:dyDescent="0.15">
      <c r="A50" s="7">
        <v>46</v>
      </c>
      <c r="B50" s="8">
        <v>1992</v>
      </c>
      <c r="C50" s="9" t="s">
        <v>1750</v>
      </c>
      <c r="D50" s="48" t="s">
        <v>1751</v>
      </c>
      <c r="E50" s="11" t="s">
        <v>1752</v>
      </c>
      <c r="F50" s="11" t="s">
        <v>1752</v>
      </c>
      <c r="G50" s="10" t="s">
        <v>263</v>
      </c>
      <c r="H50" s="12" t="s">
        <v>1753</v>
      </c>
      <c r="I50" s="11">
        <v>13</v>
      </c>
      <c r="J50" s="9"/>
    </row>
    <row r="51" spans="1:10" s="3" customFormat="1" ht="22.5" customHeight="1" x14ac:dyDescent="0.15">
      <c r="A51" s="7">
        <v>47</v>
      </c>
      <c r="B51" s="8">
        <v>1993</v>
      </c>
      <c r="C51" s="9" t="s">
        <v>1754</v>
      </c>
      <c r="D51" s="48" t="s">
        <v>1755</v>
      </c>
      <c r="E51" s="11" t="s">
        <v>1756</v>
      </c>
      <c r="F51" s="11" t="s">
        <v>1756</v>
      </c>
      <c r="G51" s="10" t="s">
        <v>263</v>
      </c>
      <c r="H51" s="12" t="s">
        <v>1757</v>
      </c>
      <c r="I51" s="11">
        <v>18</v>
      </c>
      <c r="J51" s="9"/>
    </row>
    <row r="52" spans="1:10" s="3" customFormat="1" ht="22.5" customHeight="1" x14ac:dyDescent="0.15">
      <c r="A52" s="7">
        <v>48</v>
      </c>
      <c r="B52" s="8">
        <v>1994</v>
      </c>
      <c r="C52" s="9" t="s">
        <v>1758</v>
      </c>
      <c r="D52" s="48" t="s">
        <v>1759</v>
      </c>
      <c r="E52" s="11" t="s">
        <v>1760</v>
      </c>
      <c r="F52" s="11" t="s">
        <v>1760</v>
      </c>
      <c r="G52" s="10" t="s">
        <v>263</v>
      </c>
      <c r="H52" s="12" t="s">
        <v>1761</v>
      </c>
      <c r="I52" s="11">
        <v>20</v>
      </c>
      <c r="J52" s="9"/>
    </row>
    <row r="53" spans="1:10" s="3" customFormat="1" ht="22.5" customHeight="1" x14ac:dyDescent="0.15">
      <c r="A53" s="7">
        <v>49</v>
      </c>
      <c r="B53" s="8">
        <v>1995</v>
      </c>
      <c r="C53" s="9" t="s">
        <v>1762</v>
      </c>
      <c r="D53" s="48" t="s">
        <v>1763</v>
      </c>
      <c r="E53" s="11" t="s">
        <v>1764</v>
      </c>
      <c r="F53" s="11" t="s">
        <v>1764</v>
      </c>
      <c r="G53" s="10" t="s">
        <v>263</v>
      </c>
      <c r="H53" s="12" t="s">
        <v>1765</v>
      </c>
      <c r="I53" s="11">
        <v>14.9</v>
      </c>
      <c r="J53" s="9"/>
    </row>
    <row r="54" spans="1:10" s="3" customFormat="1" ht="22.5" customHeight="1" x14ac:dyDescent="0.15">
      <c r="A54" s="7">
        <v>50</v>
      </c>
      <c r="B54" s="8">
        <v>1996</v>
      </c>
      <c r="C54" s="9" t="s">
        <v>1766</v>
      </c>
      <c r="D54" s="48" t="s">
        <v>1767</v>
      </c>
      <c r="E54" s="11" t="s">
        <v>1768</v>
      </c>
      <c r="F54" s="11" t="s">
        <v>1768</v>
      </c>
      <c r="G54" s="10" t="s">
        <v>263</v>
      </c>
      <c r="H54" s="12" t="s">
        <v>1769</v>
      </c>
      <c r="I54" s="11">
        <v>10</v>
      </c>
      <c r="J54" s="9"/>
    </row>
    <row r="55" spans="1:10" s="3" customFormat="1" ht="22.5" customHeight="1" x14ac:dyDescent="0.15">
      <c r="A55" s="7">
        <v>51</v>
      </c>
      <c r="B55" s="8">
        <v>1997</v>
      </c>
      <c r="C55" s="9" t="s">
        <v>1770</v>
      </c>
      <c r="D55" s="48" t="s">
        <v>1771</v>
      </c>
      <c r="E55" s="11" t="s">
        <v>1772</v>
      </c>
      <c r="F55" s="11" t="s">
        <v>1772</v>
      </c>
      <c r="G55" s="10" t="s">
        <v>263</v>
      </c>
      <c r="H55" s="12" t="s">
        <v>1773</v>
      </c>
      <c r="I55" s="11">
        <v>30</v>
      </c>
      <c r="J55" s="9"/>
    </row>
    <row r="56" spans="1:10" s="3" customFormat="1" ht="22.5" customHeight="1" x14ac:dyDescent="0.15">
      <c r="A56" s="7">
        <v>52</v>
      </c>
      <c r="B56" s="8">
        <v>1998</v>
      </c>
      <c r="C56" s="9" t="s">
        <v>1774</v>
      </c>
      <c r="D56" s="48" t="s">
        <v>1775</v>
      </c>
      <c r="E56" s="11" t="s">
        <v>1776</v>
      </c>
      <c r="F56" s="11" t="s">
        <v>1776</v>
      </c>
      <c r="G56" s="10" t="s">
        <v>263</v>
      </c>
      <c r="H56" s="12" t="s">
        <v>1777</v>
      </c>
      <c r="I56" s="11">
        <v>25</v>
      </c>
      <c r="J56" s="9"/>
    </row>
    <row r="57" spans="1:10" s="3" customFormat="1" ht="22.5" customHeight="1" x14ac:dyDescent="0.15">
      <c r="A57" s="7">
        <v>53</v>
      </c>
      <c r="B57" s="8">
        <v>1999</v>
      </c>
      <c r="C57" s="9" t="s">
        <v>1778</v>
      </c>
      <c r="D57" s="48" t="s">
        <v>1779</v>
      </c>
      <c r="E57" s="11" t="s">
        <v>1780</v>
      </c>
      <c r="F57" s="11" t="s">
        <v>1780</v>
      </c>
      <c r="G57" s="10" t="s">
        <v>263</v>
      </c>
      <c r="H57" s="12" t="s">
        <v>1781</v>
      </c>
      <c r="I57" s="11">
        <v>22</v>
      </c>
      <c r="J57" s="9"/>
    </row>
    <row r="58" spans="1:10" s="3" customFormat="1" ht="22.5" customHeight="1" x14ac:dyDescent="0.15">
      <c r="A58" s="7">
        <v>54</v>
      </c>
      <c r="B58" s="8">
        <v>2000</v>
      </c>
      <c r="C58" s="9" t="s">
        <v>1782</v>
      </c>
      <c r="D58" s="48" t="s">
        <v>1783</v>
      </c>
      <c r="E58" s="11" t="s">
        <v>1784</v>
      </c>
      <c r="F58" s="11" t="s">
        <v>1784</v>
      </c>
      <c r="G58" s="10" t="s">
        <v>263</v>
      </c>
      <c r="H58" s="12" t="s">
        <v>1785</v>
      </c>
      <c r="I58" s="11">
        <v>30.64</v>
      </c>
      <c r="J58" s="9"/>
    </row>
    <row r="59" spans="1:10" s="3" customFormat="1" ht="22.5" customHeight="1" x14ac:dyDescent="0.15">
      <c r="A59" s="7">
        <v>55</v>
      </c>
      <c r="B59" s="8">
        <v>2001</v>
      </c>
      <c r="C59" s="9" t="s">
        <v>1786</v>
      </c>
      <c r="D59" s="48" t="s">
        <v>1787</v>
      </c>
      <c r="E59" s="11" t="s">
        <v>1788</v>
      </c>
      <c r="F59" s="11" t="s">
        <v>1788</v>
      </c>
      <c r="G59" s="10" t="s">
        <v>263</v>
      </c>
      <c r="H59" s="12" t="s">
        <v>1789</v>
      </c>
      <c r="I59" s="11">
        <v>30</v>
      </c>
      <c r="J59" s="9"/>
    </row>
    <row r="60" spans="1:10" s="3" customFormat="1" ht="22.5" customHeight="1" x14ac:dyDescent="0.15">
      <c r="A60" s="7">
        <v>56</v>
      </c>
      <c r="B60" s="8">
        <v>2002</v>
      </c>
      <c r="C60" s="9" t="s">
        <v>1790</v>
      </c>
      <c r="D60" s="48" t="s">
        <v>1791</v>
      </c>
      <c r="E60" s="11" t="s">
        <v>1792</v>
      </c>
      <c r="F60" s="11" t="s">
        <v>1792</v>
      </c>
      <c r="G60" s="10" t="s">
        <v>263</v>
      </c>
      <c r="H60" s="12" t="s">
        <v>1793</v>
      </c>
      <c r="I60" s="11">
        <v>12.32</v>
      </c>
      <c r="J60" s="9"/>
    </row>
    <row r="61" spans="1:10" s="3" customFormat="1" ht="22.5" customHeight="1" x14ac:dyDescent="0.15">
      <c r="A61" s="7">
        <v>57</v>
      </c>
      <c r="B61" s="8">
        <v>2003</v>
      </c>
      <c r="C61" s="46" t="s">
        <v>1794</v>
      </c>
      <c r="D61" s="11" t="s">
        <v>1795</v>
      </c>
      <c r="E61" s="11" t="s">
        <v>1796</v>
      </c>
      <c r="F61" s="11" t="s">
        <v>1796</v>
      </c>
      <c r="G61" s="10" t="s">
        <v>1575</v>
      </c>
      <c r="H61" s="12" t="s">
        <v>1797</v>
      </c>
      <c r="I61" s="11">
        <v>6</v>
      </c>
      <c r="J61" s="9"/>
    </row>
    <row r="62" spans="1:10" s="3" customFormat="1" ht="22.5" customHeight="1" x14ac:dyDescent="0.15">
      <c r="A62" s="7">
        <v>58</v>
      </c>
      <c r="B62" s="8">
        <v>2004</v>
      </c>
      <c r="C62" s="9" t="s">
        <v>1798</v>
      </c>
      <c r="D62" s="48" t="s">
        <v>1799</v>
      </c>
      <c r="E62" s="11" t="s">
        <v>1800</v>
      </c>
      <c r="F62" s="11" t="s">
        <v>1800</v>
      </c>
      <c r="G62" s="10" t="s">
        <v>263</v>
      </c>
      <c r="H62" s="12" t="s">
        <v>1801</v>
      </c>
      <c r="I62" s="11">
        <v>19.600000000000001</v>
      </c>
      <c r="J62" s="9"/>
    </row>
    <row r="63" spans="1:10" s="3" customFormat="1" ht="22.5" customHeight="1" x14ac:dyDescent="0.15">
      <c r="A63" s="7">
        <v>59</v>
      </c>
      <c r="B63" s="8">
        <v>2005</v>
      </c>
      <c r="C63" s="9" t="s">
        <v>1802</v>
      </c>
      <c r="D63" s="48" t="s">
        <v>1803</v>
      </c>
      <c r="E63" s="11" t="s">
        <v>1804</v>
      </c>
      <c r="F63" s="11" t="s">
        <v>1804</v>
      </c>
      <c r="G63" s="10" t="s">
        <v>263</v>
      </c>
      <c r="H63" s="12" t="s">
        <v>1805</v>
      </c>
      <c r="I63" s="11">
        <v>26.6</v>
      </c>
      <c r="J63" s="9"/>
    </row>
    <row r="64" spans="1:10" s="3" customFormat="1" ht="22.5" customHeight="1" x14ac:dyDescent="0.15">
      <c r="A64" s="7">
        <v>60</v>
      </c>
      <c r="B64" s="8">
        <v>2006</v>
      </c>
      <c r="C64" s="9" t="s">
        <v>1806</v>
      </c>
      <c r="D64" s="48" t="s">
        <v>1807</v>
      </c>
      <c r="E64" s="11" t="s">
        <v>1808</v>
      </c>
      <c r="F64" s="11" t="s">
        <v>1808</v>
      </c>
      <c r="G64" s="10" t="s">
        <v>263</v>
      </c>
      <c r="H64" s="12" t="s">
        <v>1809</v>
      </c>
      <c r="I64" s="11">
        <v>30</v>
      </c>
      <c r="J64" s="9"/>
    </row>
    <row r="65" spans="1:10" s="3" customFormat="1" ht="22.5" customHeight="1" x14ac:dyDescent="0.15">
      <c r="A65" s="7">
        <v>61</v>
      </c>
      <c r="B65" s="8">
        <v>2007</v>
      </c>
      <c r="C65" s="9" t="s">
        <v>1810</v>
      </c>
      <c r="D65" s="47" t="s">
        <v>1811</v>
      </c>
      <c r="E65" s="11" t="s">
        <v>1812</v>
      </c>
      <c r="F65" s="11" t="s">
        <v>1812</v>
      </c>
      <c r="G65" s="10" t="s">
        <v>263</v>
      </c>
      <c r="H65" s="12" t="s">
        <v>1813</v>
      </c>
      <c r="I65" s="10">
        <v>11</v>
      </c>
      <c r="J65" s="9"/>
    </row>
    <row r="66" spans="1:10" s="3" customFormat="1" ht="22.5" customHeight="1" x14ac:dyDescent="0.15">
      <c r="A66" s="7">
        <v>62</v>
      </c>
      <c r="B66" s="8">
        <v>2008</v>
      </c>
      <c r="C66" s="9" t="s">
        <v>1814</v>
      </c>
      <c r="D66" s="47" t="s">
        <v>1815</v>
      </c>
      <c r="E66" s="11" t="s">
        <v>1816</v>
      </c>
      <c r="F66" s="11" t="s">
        <v>1816</v>
      </c>
      <c r="G66" s="10" t="s">
        <v>263</v>
      </c>
      <c r="H66" s="12" t="s">
        <v>1817</v>
      </c>
      <c r="I66" s="11">
        <v>30</v>
      </c>
      <c r="J66" s="9"/>
    </row>
    <row r="67" spans="1:10" s="3" customFormat="1" ht="22.5" customHeight="1" x14ac:dyDescent="0.15">
      <c r="A67" s="7">
        <v>63</v>
      </c>
      <c r="B67" s="8">
        <v>2009</v>
      </c>
      <c r="C67" s="9" t="s">
        <v>1818</v>
      </c>
      <c r="D67" s="47" t="s">
        <v>1819</v>
      </c>
      <c r="E67" s="8" t="s">
        <v>1820</v>
      </c>
      <c r="F67" s="8" t="s">
        <v>1820</v>
      </c>
      <c r="G67" s="10" t="s">
        <v>263</v>
      </c>
      <c r="H67" s="12" t="s">
        <v>1821</v>
      </c>
      <c r="I67" s="11">
        <v>29</v>
      </c>
      <c r="J67" s="9"/>
    </row>
    <row r="68" spans="1:10" s="3" customFormat="1" ht="22.5" customHeight="1" x14ac:dyDescent="0.15">
      <c r="A68" s="7">
        <v>64</v>
      </c>
      <c r="B68" s="8">
        <v>2010</v>
      </c>
      <c r="C68" s="9" t="s">
        <v>1822</v>
      </c>
      <c r="D68" s="46" t="s">
        <v>1823</v>
      </c>
      <c r="E68" s="8" t="s">
        <v>1824</v>
      </c>
      <c r="F68" s="8" t="s">
        <v>1824</v>
      </c>
      <c r="G68" s="10" t="s">
        <v>263</v>
      </c>
      <c r="H68" s="12" t="s">
        <v>1825</v>
      </c>
      <c r="I68" s="8">
        <v>20</v>
      </c>
      <c r="J68" s="9"/>
    </row>
    <row r="69" spans="1:10" s="3" customFormat="1" ht="22.5" customHeight="1" x14ac:dyDescent="0.15">
      <c r="A69" s="7">
        <v>65</v>
      </c>
      <c r="B69" s="8">
        <v>2011</v>
      </c>
      <c r="C69" s="9" t="s">
        <v>1826</v>
      </c>
      <c r="D69" s="48" t="s">
        <v>1827</v>
      </c>
      <c r="E69" s="11" t="s">
        <v>1828</v>
      </c>
      <c r="F69" s="11" t="s">
        <v>1828</v>
      </c>
      <c r="G69" s="10" t="s">
        <v>263</v>
      </c>
      <c r="H69" s="12" t="s">
        <v>1829</v>
      </c>
      <c r="I69" s="11">
        <v>21</v>
      </c>
      <c r="J69" s="9"/>
    </row>
    <row r="70" spans="1:10" s="3" customFormat="1" ht="22.5" customHeight="1" x14ac:dyDescent="0.15">
      <c r="A70" s="7">
        <v>66</v>
      </c>
      <c r="B70" s="8">
        <v>2012</v>
      </c>
      <c r="C70" s="9" t="s">
        <v>1830</v>
      </c>
      <c r="D70" s="48" t="s">
        <v>1831</v>
      </c>
      <c r="E70" s="11" t="s">
        <v>1832</v>
      </c>
      <c r="F70" s="11" t="s">
        <v>1832</v>
      </c>
      <c r="G70" s="10" t="s">
        <v>263</v>
      </c>
      <c r="H70" s="12" t="s">
        <v>1833</v>
      </c>
      <c r="I70" s="11">
        <v>6.5</v>
      </c>
      <c r="J70" s="9"/>
    </row>
    <row r="71" spans="1:10" s="3" customFormat="1" ht="22.5" customHeight="1" x14ac:dyDescent="0.15">
      <c r="A71" s="7">
        <v>67</v>
      </c>
      <c r="B71" s="8">
        <v>2013</v>
      </c>
      <c r="C71" s="9" t="s">
        <v>1834</v>
      </c>
      <c r="D71" s="48" t="s">
        <v>1835</v>
      </c>
      <c r="E71" s="11" t="s">
        <v>1836</v>
      </c>
      <c r="F71" s="11" t="s">
        <v>1836</v>
      </c>
      <c r="G71" s="10" t="s">
        <v>263</v>
      </c>
      <c r="H71" s="12" t="s">
        <v>1837</v>
      </c>
      <c r="I71" s="11">
        <v>23.6</v>
      </c>
      <c r="J71" s="9"/>
    </row>
    <row r="72" spans="1:10" s="3" customFormat="1" ht="22.5" customHeight="1" x14ac:dyDescent="0.15">
      <c r="A72" s="7">
        <v>68</v>
      </c>
      <c r="B72" s="8">
        <v>2014</v>
      </c>
      <c r="C72" s="9" t="s">
        <v>1838</v>
      </c>
      <c r="D72" s="48" t="s">
        <v>1839</v>
      </c>
      <c r="E72" s="11" t="s">
        <v>1840</v>
      </c>
      <c r="F72" s="11" t="s">
        <v>1840</v>
      </c>
      <c r="G72" s="10" t="s">
        <v>263</v>
      </c>
      <c r="H72" s="12" t="s">
        <v>1841</v>
      </c>
      <c r="I72" s="11">
        <v>5.8</v>
      </c>
      <c r="J72" s="9"/>
    </row>
    <row r="73" spans="1:10" s="3" customFormat="1" ht="22.5" customHeight="1" x14ac:dyDescent="0.15">
      <c r="A73" s="7">
        <v>69</v>
      </c>
      <c r="B73" s="8">
        <v>2015</v>
      </c>
      <c r="C73" s="9" t="s">
        <v>1842</v>
      </c>
      <c r="D73" s="47" t="s">
        <v>1843</v>
      </c>
      <c r="E73" s="11" t="s">
        <v>1844</v>
      </c>
      <c r="F73" s="11" t="s">
        <v>1844</v>
      </c>
      <c r="G73" s="10" t="s">
        <v>263</v>
      </c>
      <c r="H73" s="12" t="s">
        <v>1845</v>
      </c>
      <c r="I73" s="11">
        <v>15</v>
      </c>
      <c r="J73" s="9"/>
    </row>
    <row r="74" spans="1:10" s="3" customFormat="1" ht="22.5" customHeight="1" x14ac:dyDescent="0.15">
      <c r="A74" s="7">
        <v>70</v>
      </c>
      <c r="B74" s="8">
        <v>2016</v>
      </c>
      <c r="C74" s="9" t="s">
        <v>1846</v>
      </c>
      <c r="D74" s="48" t="s">
        <v>1847</v>
      </c>
      <c r="E74" s="11" t="s">
        <v>1848</v>
      </c>
      <c r="F74" s="11" t="s">
        <v>1848</v>
      </c>
      <c r="G74" s="10" t="s">
        <v>263</v>
      </c>
      <c r="H74" s="12" t="s">
        <v>1849</v>
      </c>
      <c r="I74" s="11">
        <v>25</v>
      </c>
      <c r="J74" s="9"/>
    </row>
    <row r="75" spans="1:10" s="3" customFormat="1" ht="22.5" customHeight="1" x14ac:dyDescent="0.15">
      <c r="A75" s="7">
        <v>71</v>
      </c>
      <c r="B75" s="8">
        <v>2017</v>
      </c>
      <c r="C75" s="9" t="s">
        <v>1850</v>
      </c>
      <c r="D75" s="48" t="s">
        <v>1851</v>
      </c>
      <c r="E75" s="11" t="s">
        <v>1852</v>
      </c>
      <c r="F75" s="11" t="s">
        <v>1852</v>
      </c>
      <c r="G75" s="10" t="s">
        <v>263</v>
      </c>
      <c r="H75" s="12" t="s">
        <v>1853</v>
      </c>
      <c r="I75" s="11">
        <v>15</v>
      </c>
      <c r="J75" s="9"/>
    </row>
    <row r="76" spans="1:10" s="3" customFormat="1" ht="22.5" customHeight="1" x14ac:dyDescent="0.15">
      <c r="A76" s="7">
        <v>72</v>
      </c>
      <c r="B76" s="8">
        <v>2018</v>
      </c>
      <c r="C76" s="46" t="s">
        <v>1854</v>
      </c>
      <c r="D76" s="48" t="s">
        <v>1855</v>
      </c>
      <c r="E76" s="11" t="s">
        <v>1856</v>
      </c>
      <c r="F76" s="10" t="s">
        <v>1857</v>
      </c>
      <c r="G76" s="10" t="s">
        <v>250</v>
      </c>
      <c r="H76" s="12" t="s">
        <v>1858</v>
      </c>
      <c r="I76" s="11">
        <v>30</v>
      </c>
      <c r="J76" s="9"/>
    </row>
    <row r="77" spans="1:10" s="3" customFormat="1" ht="22.5" customHeight="1" x14ac:dyDescent="0.15">
      <c r="A77" s="7">
        <v>73</v>
      </c>
      <c r="B77" s="8">
        <v>2019</v>
      </c>
      <c r="C77" s="9" t="s">
        <v>1859</v>
      </c>
      <c r="D77" s="47" t="s">
        <v>1860</v>
      </c>
      <c r="E77" s="11" t="s">
        <v>1861</v>
      </c>
      <c r="F77" s="11" t="s">
        <v>1861</v>
      </c>
      <c r="G77" s="10" t="s">
        <v>263</v>
      </c>
      <c r="H77" s="12" t="s">
        <v>1862</v>
      </c>
      <c r="I77" s="11">
        <v>25</v>
      </c>
      <c r="J77" s="9"/>
    </row>
    <row r="78" spans="1:10" s="3" customFormat="1" ht="22.5" customHeight="1" x14ac:dyDescent="0.15">
      <c r="A78" s="7">
        <v>74</v>
      </c>
      <c r="B78" s="8">
        <v>2020</v>
      </c>
      <c r="C78" s="9" t="s">
        <v>1863</v>
      </c>
      <c r="D78" s="47" t="s">
        <v>1864</v>
      </c>
      <c r="E78" s="11" t="s">
        <v>1865</v>
      </c>
      <c r="F78" s="11" t="s">
        <v>1865</v>
      </c>
      <c r="G78" s="10" t="s">
        <v>263</v>
      </c>
      <c r="H78" s="12" t="s">
        <v>1866</v>
      </c>
      <c r="I78" s="11">
        <v>20</v>
      </c>
      <c r="J78" s="9"/>
    </row>
    <row r="79" spans="1:10" s="3" customFormat="1" ht="22.5" customHeight="1" x14ac:dyDescent="0.15">
      <c r="A79" s="7">
        <v>75</v>
      </c>
      <c r="B79" s="8">
        <v>2021</v>
      </c>
      <c r="C79" s="9" t="s">
        <v>1867</v>
      </c>
      <c r="D79" s="47" t="s">
        <v>1868</v>
      </c>
      <c r="E79" s="11" t="s">
        <v>1869</v>
      </c>
      <c r="F79" s="11" t="s">
        <v>1869</v>
      </c>
      <c r="G79" s="10" t="s">
        <v>263</v>
      </c>
      <c r="H79" s="12" t="s">
        <v>1870</v>
      </c>
      <c r="I79" s="11">
        <v>19</v>
      </c>
      <c r="J79" s="9"/>
    </row>
    <row r="80" spans="1:10" s="3" customFormat="1" ht="22.5" customHeight="1" x14ac:dyDescent="0.15">
      <c r="A80" s="7">
        <v>76</v>
      </c>
      <c r="B80" s="8">
        <v>2022</v>
      </c>
      <c r="C80" s="9" t="s">
        <v>1871</v>
      </c>
      <c r="D80" s="47" t="s">
        <v>1872</v>
      </c>
      <c r="E80" s="11" t="s">
        <v>1873</v>
      </c>
      <c r="F80" s="11" t="s">
        <v>1873</v>
      </c>
      <c r="G80" s="10" t="s">
        <v>263</v>
      </c>
      <c r="H80" s="12" t="s">
        <v>1874</v>
      </c>
      <c r="I80" s="11">
        <v>27</v>
      </c>
      <c r="J80" s="9"/>
    </row>
    <row r="81" spans="1:10" s="3" customFormat="1" ht="22.5" customHeight="1" x14ac:dyDescent="0.15">
      <c r="A81" s="7">
        <v>77</v>
      </c>
      <c r="B81" s="8">
        <v>2023</v>
      </c>
      <c r="C81" s="9" t="s">
        <v>1875</v>
      </c>
      <c r="D81" s="48" t="s">
        <v>1876</v>
      </c>
      <c r="E81" s="10" t="s">
        <v>1877</v>
      </c>
      <c r="F81" s="10" t="s">
        <v>1877</v>
      </c>
      <c r="G81" s="10" t="s">
        <v>263</v>
      </c>
      <c r="H81" s="12" t="s">
        <v>1878</v>
      </c>
      <c r="I81" s="11">
        <v>27.5</v>
      </c>
      <c r="J81" s="9"/>
    </row>
    <row r="82" spans="1:10" s="3" customFormat="1" ht="22.5" customHeight="1" x14ac:dyDescent="0.15">
      <c r="A82" s="7">
        <v>78</v>
      </c>
      <c r="B82" s="8">
        <v>2024</v>
      </c>
      <c r="C82" s="9" t="s">
        <v>1879</v>
      </c>
      <c r="D82" s="48" t="s">
        <v>1880</v>
      </c>
      <c r="E82" s="11" t="s">
        <v>1881</v>
      </c>
      <c r="F82" s="11" t="s">
        <v>1881</v>
      </c>
      <c r="G82" s="10" t="s">
        <v>263</v>
      </c>
      <c r="H82" s="12" t="s">
        <v>1882</v>
      </c>
      <c r="I82" s="11">
        <v>18.8</v>
      </c>
      <c r="J82" s="9"/>
    </row>
    <row r="83" spans="1:10" s="3" customFormat="1" ht="22.5" customHeight="1" x14ac:dyDescent="0.15">
      <c r="A83" s="7">
        <v>79</v>
      </c>
      <c r="B83" s="8">
        <v>2025</v>
      </c>
      <c r="C83" s="9" t="s">
        <v>1883</v>
      </c>
      <c r="D83" s="48" t="s">
        <v>1884</v>
      </c>
      <c r="E83" s="11" t="s">
        <v>1885</v>
      </c>
      <c r="F83" s="11" t="s">
        <v>1885</v>
      </c>
      <c r="G83" s="10" t="s">
        <v>263</v>
      </c>
      <c r="H83" s="12" t="s">
        <v>1886</v>
      </c>
      <c r="I83" s="11">
        <v>19.5</v>
      </c>
      <c r="J83" s="9"/>
    </row>
    <row r="84" spans="1:10" s="3" customFormat="1" ht="22.5" customHeight="1" x14ac:dyDescent="0.15">
      <c r="A84" s="7">
        <v>80</v>
      </c>
      <c r="B84" s="8">
        <v>2026</v>
      </c>
      <c r="C84" s="9" t="s">
        <v>1887</v>
      </c>
      <c r="D84" s="48" t="s">
        <v>1888</v>
      </c>
      <c r="E84" s="11" t="s">
        <v>1889</v>
      </c>
      <c r="F84" s="11" t="s">
        <v>1889</v>
      </c>
      <c r="G84" s="10" t="s">
        <v>263</v>
      </c>
      <c r="H84" s="12" t="s">
        <v>1890</v>
      </c>
      <c r="I84" s="11">
        <v>21.52</v>
      </c>
      <c r="J84" s="9"/>
    </row>
    <row r="85" spans="1:10" s="3" customFormat="1" ht="22.5" customHeight="1" x14ac:dyDescent="0.15">
      <c r="A85" s="7">
        <v>81</v>
      </c>
      <c r="B85" s="8">
        <v>2027</v>
      </c>
      <c r="C85" s="9" t="s">
        <v>1891</v>
      </c>
      <c r="D85" s="48" t="s">
        <v>1892</v>
      </c>
      <c r="E85" s="11" t="s">
        <v>1893</v>
      </c>
      <c r="F85" s="11" t="s">
        <v>1893</v>
      </c>
      <c r="G85" s="10" t="s">
        <v>263</v>
      </c>
      <c r="H85" s="12" t="s">
        <v>1894</v>
      </c>
      <c r="I85" s="11">
        <v>23.5</v>
      </c>
      <c r="J85" s="9"/>
    </row>
    <row r="86" spans="1:10" s="3" customFormat="1" ht="22.5" customHeight="1" x14ac:dyDescent="0.15">
      <c r="A86" s="7">
        <v>82</v>
      </c>
      <c r="B86" s="8">
        <v>2028</v>
      </c>
      <c r="C86" s="9" t="s">
        <v>1895</v>
      </c>
      <c r="D86" s="48" t="s">
        <v>1896</v>
      </c>
      <c r="E86" s="11" t="s">
        <v>1897</v>
      </c>
      <c r="F86" s="11" t="s">
        <v>1897</v>
      </c>
      <c r="G86" s="10" t="s">
        <v>263</v>
      </c>
      <c r="H86" s="12" t="s">
        <v>1898</v>
      </c>
      <c r="I86" s="11">
        <v>11</v>
      </c>
      <c r="J86" s="9"/>
    </row>
    <row r="87" spans="1:10" s="3" customFormat="1" ht="22.5" customHeight="1" x14ac:dyDescent="0.15">
      <c r="A87" s="7">
        <v>83</v>
      </c>
      <c r="B87" s="8">
        <v>2029</v>
      </c>
      <c r="C87" s="9" t="s">
        <v>1899</v>
      </c>
      <c r="D87" s="48" t="s">
        <v>1900</v>
      </c>
      <c r="E87" s="11" t="s">
        <v>1901</v>
      </c>
      <c r="F87" s="11" t="s">
        <v>1901</v>
      </c>
      <c r="G87" s="10" t="s">
        <v>263</v>
      </c>
      <c r="H87" s="12" t="s">
        <v>1902</v>
      </c>
      <c r="I87" s="11">
        <v>23.8</v>
      </c>
      <c r="J87" s="9"/>
    </row>
    <row r="88" spans="1:10" s="3" customFormat="1" ht="22.5" customHeight="1" x14ac:dyDescent="0.15">
      <c r="A88" s="7">
        <v>84</v>
      </c>
      <c r="B88" s="8">
        <v>2030</v>
      </c>
      <c r="C88" s="9" t="s">
        <v>1903</v>
      </c>
      <c r="D88" s="48" t="s">
        <v>1904</v>
      </c>
      <c r="E88" s="11" t="s">
        <v>1905</v>
      </c>
      <c r="F88" s="11" t="s">
        <v>1905</v>
      </c>
      <c r="G88" s="10" t="s">
        <v>263</v>
      </c>
      <c r="H88" s="12" t="s">
        <v>1906</v>
      </c>
      <c r="I88" s="11">
        <v>17</v>
      </c>
      <c r="J88" s="9"/>
    </row>
    <row r="89" spans="1:10" s="3" customFormat="1" ht="22.5" customHeight="1" x14ac:dyDescent="0.15">
      <c r="A89" s="7">
        <v>85</v>
      </c>
      <c r="B89" s="8">
        <v>2031</v>
      </c>
      <c r="C89" s="9" t="s">
        <v>1907</v>
      </c>
      <c r="D89" s="48" t="s">
        <v>1908</v>
      </c>
      <c r="E89" s="11" t="s">
        <v>1909</v>
      </c>
      <c r="F89" s="11" t="s">
        <v>1909</v>
      </c>
      <c r="G89" s="10" t="s">
        <v>263</v>
      </c>
      <c r="H89" s="12" t="s">
        <v>1910</v>
      </c>
      <c r="I89" s="11">
        <v>8</v>
      </c>
      <c r="J89" s="9"/>
    </row>
    <row r="90" spans="1:10" s="3" customFormat="1" ht="22.5" customHeight="1" x14ac:dyDescent="0.15">
      <c r="A90" s="7">
        <v>86</v>
      </c>
      <c r="B90" s="8">
        <v>2032</v>
      </c>
      <c r="C90" s="9" t="s">
        <v>1911</v>
      </c>
      <c r="D90" s="48" t="s">
        <v>1912</v>
      </c>
      <c r="E90" s="11" t="s">
        <v>1913</v>
      </c>
      <c r="F90" s="11" t="s">
        <v>1913</v>
      </c>
      <c r="G90" s="10" t="s">
        <v>263</v>
      </c>
      <c r="H90" s="12" t="s">
        <v>1914</v>
      </c>
      <c r="I90" s="11">
        <v>12.4</v>
      </c>
      <c r="J90" s="9"/>
    </row>
    <row r="91" spans="1:10" s="3" customFormat="1" ht="22.5" customHeight="1" x14ac:dyDescent="0.15">
      <c r="A91" s="7">
        <v>87</v>
      </c>
      <c r="B91" s="8">
        <v>2033</v>
      </c>
      <c r="C91" s="9" t="s">
        <v>1915</v>
      </c>
      <c r="D91" s="48" t="s">
        <v>1916</v>
      </c>
      <c r="E91" s="11" t="s">
        <v>1917</v>
      </c>
      <c r="F91" s="11" t="s">
        <v>1917</v>
      </c>
      <c r="G91" s="10" t="s">
        <v>263</v>
      </c>
      <c r="H91" s="12" t="s">
        <v>1918</v>
      </c>
      <c r="I91" s="11">
        <v>20</v>
      </c>
      <c r="J91" s="9"/>
    </row>
    <row r="92" spans="1:10" s="3" customFormat="1" ht="22.5" customHeight="1" x14ac:dyDescent="0.15">
      <c r="A92" s="7">
        <v>88</v>
      </c>
      <c r="B92" s="8">
        <v>2034</v>
      </c>
      <c r="C92" s="9" t="s">
        <v>1919</v>
      </c>
      <c r="D92" s="48" t="s">
        <v>1920</v>
      </c>
      <c r="E92" s="11" t="s">
        <v>1921</v>
      </c>
      <c r="F92" s="11" t="s">
        <v>1921</v>
      </c>
      <c r="G92" s="10" t="s">
        <v>263</v>
      </c>
      <c r="H92" s="12" t="s">
        <v>1922</v>
      </c>
      <c r="I92" s="11">
        <v>17.8</v>
      </c>
      <c r="J92" s="9"/>
    </row>
    <row r="93" spans="1:10" s="3" customFormat="1" ht="22.5" customHeight="1" x14ac:dyDescent="0.15">
      <c r="A93" s="7">
        <v>89</v>
      </c>
      <c r="B93" s="8">
        <v>2035</v>
      </c>
      <c r="C93" s="9" t="s">
        <v>1923</v>
      </c>
      <c r="D93" s="48" t="s">
        <v>1924</v>
      </c>
      <c r="E93" s="11" t="s">
        <v>1925</v>
      </c>
      <c r="F93" s="11" t="s">
        <v>1925</v>
      </c>
      <c r="G93" s="10" t="s">
        <v>263</v>
      </c>
      <c r="H93" s="12" t="s">
        <v>1926</v>
      </c>
      <c r="I93" s="11">
        <v>18</v>
      </c>
      <c r="J93" s="9"/>
    </row>
    <row r="94" spans="1:10" s="3" customFormat="1" ht="22.5" customHeight="1" x14ac:dyDescent="0.15">
      <c r="A94" s="7">
        <v>90</v>
      </c>
      <c r="B94" s="8">
        <v>2036</v>
      </c>
      <c r="C94" s="9" t="s">
        <v>1927</v>
      </c>
      <c r="D94" s="48" t="s">
        <v>1928</v>
      </c>
      <c r="E94" s="11" t="s">
        <v>1929</v>
      </c>
      <c r="F94" s="11" t="s">
        <v>1929</v>
      </c>
      <c r="G94" s="10" t="s">
        <v>263</v>
      </c>
      <c r="H94" s="12" t="s">
        <v>1930</v>
      </c>
      <c r="I94" s="11">
        <v>21.5</v>
      </c>
      <c r="J94" s="9"/>
    </row>
    <row r="95" spans="1:10" s="3" customFormat="1" ht="22.5" customHeight="1" x14ac:dyDescent="0.15">
      <c r="A95" s="7">
        <v>91</v>
      </c>
      <c r="B95" s="8">
        <v>2037</v>
      </c>
      <c r="C95" s="9" t="s">
        <v>1931</v>
      </c>
      <c r="D95" s="48" t="s">
        <v>1932</v>
      </c>
      <c r="E95" s="11" t="s">
        <v>1933</v>
      </c>
      <c r="F95" s="11" t="s">
        <v>1933</v>
      </c>
      <c r="G95" s="10" t="s">
        <v>263</v>
      </c>
      <c r="H95" s="12" t="s">
        <v>1934</v>
      </c>
      <c r="I95" s="11">
        <v>23.77</v>
      </c>
      <c r="J95" s="9"/>
    </row>
    <row r="96" spans="1:10" s="3" customFormat="1" ht="22.5" customHeight="1" x14ac:dyDescent="0.15">
      <c r="A96" s="7">
        <v>92</v>
      </c>
      <c r="B96" s="8">
        <v>2038</v>
      </c>
      <c r="C96" s="9" t="s">
        <v>1935</v>
      </c>
      <c r="D96" s="48" t="s">
        <v>1936</v>
      </c>
      <c r="E96" s="11" t="s">
        <v>1937</v>
      </c>
      <c r="F96" s="11" t="s">
        <v>1937</v>
      </c>
      <c r="G96" s="10" t="s">
        <v>263</v>
      </c>
      <c r="H96" s="12" t="s">
        <v>1938</v>
      </c>
      <c r="I96" s="11">
        <v>30</v>
      </c>
      <c r="J96" s="9"/>
    </row>
    <row r="97" spans="1:10" s="3" customFormat="1" ht="22.5" customHeight="1" x14ac:dyDescent="0.15">
      <c r="A97" s="7">
        <v>93</v>
      </c>
      <c r="B97" s="8">
        <v>2039</v>
      </c>
      <c r="C97" s="9" t="s">
        <v>1939</v>
      </c>
      <c r="D97" s="48" t="s">
        <v>1940</v>
      </c>
      <c r="E97" s="11" t="s">
        <v>1941</v>
      </c>
      <c r="F97" s="11" t="s">
        <v>1941</v>
      </c>
      <c r="G97" s="10" t="s">
        <v>263</v>
      </c>
      <c r="H97" s="13" t="s">
        <v>1942</v>
      </c>
      <c r="I97" s="11">
        <v>18</v>
      </c>
      <c r="J97" s="9"/>
    </row>
    <row r="98" spans="1:10" s="3" customFormat="1" ht="22.5" customHeight="1" x14ac:dyDescent="0.15">
      <c r="A98" s="7">
        <v>94</v>
      </c>
      <c r="B98" s="8">
        <v>2040</v>
      </c>
      <c r="C98" s="9" t="s">
        <v>1943</v>
      </c>
      <c r="D98" s="48" t="s">
        <v>1944</v>
      </c>
      <c r="E98" s="11" t="s">
        <v>1945</v>
      </c>
      <c r="F98" s="11" t="s">
        <v>1945</v>
      </c>
      <c r="G98" s="10" t="s">
        <v>263</v>
      </c>
      <c r="H98" s="13" t="s">
        <v>1946</v>
      </c>
      <c r="I98" s="11">
        <v>25</v>
      </c>
      <c r="J98" s="9"/>
    </row>
    <row r="99" spans="1:10" s="3" customFormat="1" ht="22.5" customHeight="1" x14ac:dyDescent="0.15">
      <c r="A99" s="7">
        <v>95</v>
      </c>
      <c r="B99" s="8">
        <v>2041</v>
      </c>
      <c r="C99" s="9" t="s">
        <v>1947</v>
      </c>
      <c r="D99" s="48" t="s">
        <v>1948</v>
      </c>
      <c r="E99" s="11" t="s">
        <v>1949</v>
      </c>
      <c r="F99" s="11" t="s">
        <v>1949</v>
      </c>
      <c r="G99" s="10" t="s">
        <v>263</v>
      </c>
      <c r="H99" s="13" t="s">
        <v>1950</v>
      </c>
      <c r="I99" s="11">
        <v>13</v>
      </c>
      <c r="J99" s="9"/>
    </row>
    <row r="100" spans="1:10" s="3" customFormat="1" ht="22.5" customHeight="1" x14ac:dyDescent="0.15">
      <c r="A100" s="7">
        <v>96</v>
      </c>
      <c r="B100" s="8">
        <v>2042</v>
      </c>
      <c r="C100" s="9" t="s">
        <v>1951</v>
      </c>
      <c r="D100" s="48" t="s">
        <v>1952</v>
      </c>
      <c r="E100" s="11" t="s">
        <v>1953</v>
      </c>
      <c r="F100" s="11" t="s">
        <v>1953</v>
      </c>
      <c r="G100" s="10" t="s">
        <v>263</v>
      </c>
      <c r="H100" s="13" t="s">
        <v>1954</v>
      </c>
      <c r="I100" s="11">
        <v>24</v>
      </c>
      <c r="J100" s="9"/>
    </row>
    <row r="101" spans="1:10" s="3" customFormat="1" ht="22.5" customHeight="1" x14ac:dyDescent="0.15">
      <c r="A101" s="7">
        <v>97</v>
      </c>
      <c r="B101" s="8">
        <v>2043</v>
      </c>
      <c r="C101" s="9" t="s">
        <v>1955</v>
      </c>
      <c r="D101" s="48" t="s">
        <v>1956</v>
      </c>
      <c r="E101" s="11" t="s">
        <v>1957</v>
      </c>
      <c r="F101" s="11" t="s">
        <v>1957</v>
      </c>
      <c r="G101" s="10" t="s">
        <v>263</v>
      </c>
      <c r="H101" s="13" t="s">
        <v>1958</v>
      </c>
      <c r="I101" s="11">
        <v>47.6</v>
      </c>
      <c r="J101" s="9"/>
    </row>
    <row r="102" spans="1:10" s="3" customFormat="1" ht="22.5" customHeight="1" x14ac:dyDescent="0.15">
      <c r="A102" s="7">
        <v>98</v>
      </c>
      <c r="B102" s="8">
        <v>2044</v>
      </c>
      <c r="C102" s="9" t="s">
        <v>1959</v>
      </c>
      <c r="D102" s="48" t="s">
        <v>1960</v>
      </c>
      <c r="E102" s="11" t="s">
        <v>1961</v>
      </c>
      <c r="F102" s="11" t="s">
        <v>1961</v>
      </c>
      <c r="G102" s="10" t="s">
        <v>263</v>
      </c>
      <c r="H102" s="13" t="s">
        <v>1962</v>
      </c>
      <c r="I102" s="11">
        <v>12.8</v>
      </c>
      <c r="J102" s="9"/>
    </row>
    <row r="103" spans="1:10" s="3" customFormat="1" ht="22.5" customHeight="1" x14ac:dyDescent="0.15">
      <c r="A103" s="7">
        <v>99</v>
      </c>
      <c r="B103" s="8">
        <v>2045</v>
      </c>
      <c r="C103" s="9" t="s">
        <v>1963</v>
      </c>
      <c r="D103" s="48" t="s">
        <v>1964</v>
      </c>
      <c r="E103" s="11" t="s">
        <v>1965</v>
      </c>
      <c r="F103" s="11" t="s">
        <v>1965</v>
      </c>
      <c r="G103" s="10" t="s">
        <v>263</v>
      </c>
      <c r="H103" s="13" t="s">
        <v>1966</v>
      </c>
      <c r="I103" s="11">
        <v>18</v>
      </c>
      <c r="J103" s="9"/>
    </row>
    <row r="104" spans="1:10" s="3" customFormat="1" ht="22.5" customHeight="1" x14ac:dyDescent="0.15">
      <c r="A104" s="7">
        <v>100</v>
      </c>
      <c r="B104" s="8">
        <v>2046</v>
      </c>
      <c r="C104" s="9" t="s">
        <v>1967</v>
      </c>
      <c r="D104" s="48" t="s">
        <v>1968</v>
      </c>
      <c r="E104" s="11" t="s">
        <v>1969</v>
      </c>
      <c r="F104" s="11" t="s">
        <v>1969</v>
      </c>
      <c r="G104" s="10" t="s">
        <v>263</v>
      </c>
      <c r="H104" s="13" t="s">
        <v>1970</v>
      </c>
      <c r="I104" s="11">
        <v>29</v>
      </c>
      <c r="J104" s="9"/>
    </row>
    <row r="105" spans="1:10" s="3" customFormat="1" ht="22.5" customHeight="1" x14ac:dyDescent="0.15">
      <c r="A105" s="7">
        <v>101</v>
      </c>
      <c r="B105" s="8">
        <v>2047</v>
      </c>
      <c r="C105" s="9" t="s">
        <v>1971</v>
      </c>
      <c r="D105" s="48" t="s">
        <v>1972</v>
      </c>
      <c r="E105" s="11" t="s">
        <v>1973</v>
      </c>
      <c r="F105" s="11" t="s">
        <v>1973</v>
      </c>
      <c r="G105" s="10" t="s">
        <v>263</v>
      </c>
      <c r="H105" s="13" t="s">
        <v>1974</v>
      </c>
      <c r="I105" s="11">
        <v>27</v>
      </c>
      <c r="J105" s="9"/>
    </row>
    <row r="106" spans="1:10" s="3" customFormat="1" ht="22.5" customHeight="1" x14ac:dyDescent="0.15">
      <c r="A106" s="7">
        <v>102</v>
      </c>
      <c r="B106" s="8">
        <v>2048</v>
      </c>
      <c r="C106" s="9" t="s">
        <v>1975</v>
      </c>
      <c r="D106" s="48" t="s">
        <v>1976</v>
      </c>
      <c r="E106" s="11" t="s">
        <v>1977</v>
      </c>
      <c r="F106" s="11" t="s">
        <v>1977</v>
      </c>
      <c r="G106" s="10" t="s">
        <v>263</v>
      </c>
      <c r="H106" s="13" t="s">
        <v>1978</v>
      </c>
      <c r="I106" s="11">
        <v>33</v>
      </c>
      <c r="J106" s="9"/>
    </row>
    <row r="107" spans="1:10" s="3" customFormat="1" ht="22.5" customHeight="1" x14ac:dyDescent="0.15">
      <c r="A107" s="7">
        <v>103</v>
      </c>
      <c r="B107" s="8">
        <v>2049</v>
      </c>
      <c r="C107" s="9" t="s">
        <v>1979</v>
      </c>
      <c r="D107" s="48" t="s">
        <v>1980</v>
      </c>
      <c r="E107" s="11" t="s">
        <v>1981</v>
      </c>
      <c r="F107" s="11" t="s">
        <v>1981</v>
      </c>
      <c r="G107" s="10" t="s">
        <v>263</v>
      </c>
      <c r="H107" s="13" t="s">
        <v>1982</v>
      </c>
      <c r="I107" s="11">
        <v>23</v>
      </c>
      <c r="J107" s="9"/>
    </row>
    <row r="108" spans="1:10" s="3" customFormat="1" ht="22.5" customHeight="1" x14ac:dyDescent="0.15">
      <c r="A108" s="7"/>
      <c r="B108" s="8"/>
      <c r="C108" s="9"/>
      <c r="D108" s="11"/>
      <c r="E108" s="11"/>
      <c r="F108" s="11"/>
      <c r="G108" s="10"/>
      <c r="H108" s="12"/>
      <c r="I108" s="11"/>
      <c r="J108" s="9"/>
    </row>
    <row r="109" spans="1:10" s="3" customFormat="1" ht="22.5" customHeight="1" x14ac:dyDescent="0.15">
      <c r="A109" s="7"/>
      <c r="B109" s="8"/>
      <c r="C109" s="9"/>
      <c r="D109" s="11"/>
      <c r="E109" s="11"/>
      <c r="F109" s="11"/>
      <c r="G109" s="10"/>
      <c r="H109" s="12"/>
      <c r="I109" s="11"/>
      <c r="J109" s="9"/>
    </row>
    <row r="110" spans="1:10" ht="22.5" customHeight="1" x14ac:dyDescent="0.15">
      <c r="A110" s="6"/>
      <c r="B110" s="14" t="s">
        <v>216</v>
      </c>
      <c r="C110" s="9" t="s">
        <v>218</v>
      </c>
      <c r="D110" s="9">
        <v>979</v>
      </c>
      <c r="E110" s="9">
        <v>0</v>
      </c>
      <c r="F110" s="9">
        <v>979</v>
      </c>
      <c r="G110" s="9"/>
      <c r="H110" s="9"/>
      <c r="I110" s="9"/>
      <c r="J110" s="16"/>
    </row>
    <row r="111" spans="1:10" ht="22.5" customHeight="1" x14ac:dyDescent="0.15">
      <c r="A111" s="6"/>
      <c r="B111" s="14" t="s">
        <v>216</v>
      </c>
      <c r="C111" s="8" t="s">
        <v>219</v>
      </c>
      <c r="D111" s="10">
        <v>409</v>
      </c>
      <c r="E111" s="11">
        <v>2</v>
      </c>
      <c r="F111" s="10">
        <v>411</v>
      </c>
      <c r="G111" s="9"/>
      <c r="H111" s="9"/>
      <c r="I111" s="9"/>
      <c r="J111" s="16"/>
    </row>
    <row r="112" spans="1:10" ht="22.5" customHeight="1" x14ac:dyDescent="0.15">
      <c r="A112" s="6"/>
      <c r="B112" s="14" t="s">
        <v>216</v>
      </c>
      <c r="C112" s="8" t="s">
        <v>220</v>
      </c>
      <c r="D112" s="10">
        <v>84</v>
      </c>
      <c r="E112" s="11">
        <v>0</v>
      </c>
      <c r="F112" s="10">
        <v>84</v>
      </c>
      <c r="G112" s="10"/>
      <c r="H112" s="10"/>
      <c r="I112" s="11"/>
      <c r="J112" s="16"/>
    </row>
    <row r="113" spans="1:10" ht="22.5" customHeight="1" x14ac:dyDescent="0.15">
      <c r="A113" s="6"/>
      <c r="B113" s="14" t="s">
        <v>216</v>
      </c>
      <c r="C113" s="8" t="s">
        <v>221</v>
      </c>
      <c r="D113" s="10">
        <v>1</v>
      </c>
      <c r="E113" s="11">
        <v>0</v>
      </c>
      <c r="F113" s="10">
        <v>1</v>
      </c>
      <c r="G113" s="10"/>
      <c r="H113" s="10"/>
      <c r="I113" s="11"/>
      <c r="J113" s="16"/>
    </row>
    <row r="114" spans="1:10" ht="22.5" customHeight="1" x14ac:dyDescent="0.15">
      <c r="A114" s="6"/>
      <c r="B114" s="14" t="s">
        <v>216</v>
      </c>
      <c r="C114" s="8" t="s">
        <v>16</v>
      </c>
      <c r="D114" s="10">
        <v>612</v>
      </c>
      <c r="E114" s="11">
        <v>0</v>
      </c>
      <c r="F114" s="10">
        <v>612</v>
      </c>
      <c r="G114" s="10"/>
      <c r="H114" s="10"/>
      <c r="I114" s="11"/>
      <c r="J114" s="16"/>
    </row>
    <row r="115" spans="1:10" ht="22.5" customHeight="1" x14ac:dyDescent="0.15">
      <c r="A115" s="6"/>
      <c r="B115" s="14" t="s">
        <v>216</v>
      </c>
      <c r="C115" s="8" t="s">
        <v>49</v>
      </c>
      <c r="D115" s="10">
        <v>795</v>
      </c>
      <c r="E115" s="11">
        <v>26</v>
      </c>
      <c r="F115" s="10">
        <v>821</v>
      </c>
      <c r="G115" s="10"/>
      <c r="H115" s="10"/>
      <c r="I115" s="11"/>
      <c r="J115" s="16"/>
    </row>
    <row r="116" spans="1:10" ht="22.5" customHeight="1" x14ac:dyDescent="0.15">
      <c r="A116" s="6"/>
      <c r="B116" s="14" t="s">
        <v>216</v>
      </c>
      <c r="C116" s="8" t="s">
        <v>21</v>
      </c>
      <c r="D116" s="10">
        <v>4545</v>
      </c>
      <c r="E116" s="11">
        <v>2</v>
      </c>
      <c r="F116" s="10">
        <v>4547</v>
      </c>
      <c r="G116" s="10"/>
      <c r="H116" s="10"/>
      <c r="I116" s="11"/>
      <c r="J116" s="16"/>
    </row>
    <row r="117" spans="1:10" ht="22.5" customHeight="1" x14ac:dyDescent="0.15">
      <c r="A117" s="6"/>
      <c r="B117" s="14" t="s">
        <v>216</v>
      </c>
      <c r="C117" s="15" t="s">
        <v>222</v>
      </c>
      <c r="D117" s="16">
        <v>38</v>
      </c>
      <c r="E117" s="14">
        <v>0</v>
      </c>
      <c r="F117" s="17">
        <v>38</v>
      </c>
      <c r="G117" s="16"/>
      <c r="H117" s="16"/>
      <c r="I117" s="14"/>
      <c r="J117" s="16"/>
    </row>
    <row r="118" spans="1:10" ht="22.5" customHeight="1" x14ac:dyDescent="0.15">
      <c r="A118" s="18"/>
      <c r="B118" s="18"/>
      <c r="C118" s="19"/>
      <c r="D118" s="19">
        <v>7466</v>
      </c>
      <c r="E118" s="18">
        <v>30</v>
      </c>
      <c r="F118" s="20">
        <v>7496</v>
      </c>
      <c r="G118" s="19"/>
      <c r="H118" s="19"/>
      <c r="I118" s="18"/>
      <c r="J118" s="18"/>
    </row>
    <row r="119" spans="1:10" ht="22.5" customHeight="1" x14ac:dyDescent="0.15">
      <c r="A119" s="19" t="s">
        <v>1563</v>
      </c>
      <c r="B119" s="19"/>
      <c r="C119" s="21" t="s">
        <v>1983</v>
      </c>
      <c r="D119" s="21"/>
      <c r="E119" s="22"/>
      <c r="F119" s="21"/>
      <c r="G119" s="21"/>
      <c r="H119" s="22"/>
      <c r="I119" s="22"/>
      <c r="J119" s="22"/>
    </row>
    <row r="120" spans="1:10" ht="6.75" customHeight="1" x14ac:dyDescent="0.15">
      <c r="A120" s="19"/>
      <c r="B120" s="19"/>
      <c r="C120" s="21"/>
      <c r="D120" s="21"/>
      <c r="E120" s="22"/>
      <c r="F120" s="21"/>
      <c r="G120" s="21"/>
      <c r="H120" s="22"/>
      <c r="I120" s="22"/>
      <c r="J120" s="22"/>
    </row>
    <row r="121" spans="1:10" ht="22.5" customHeight="1" x14ac:dyDescent="0.15">
      <c r="A121" s="19"/>
      <c r="B121" s="19"/>
      <c r="C121" s="21" t="s">
        <v>1984</v>
      </c>
      <c r="D121" s="21"/>
      <c r="E121" s="22"/>
      <c r="F121" s="21"/>
      <c r="G121" s="21"/>
      <c r="H121" s="22"/>
      <c r="I121" s="22"/>
      <c r="J121" s="22"/>
    </row>
    <row r="122" spans="1:10" ht="2.25" customHeight="1" x14ac:dyDescent="0.15">
      <c r="A122" s="19"/>
      <c r="B122" s="19"/>
      <c r="C122" s="21"/>
      <c r="D122" s="21"/>
      <c r="E122" s="22"/>
      <c r="F122" s="21"/>
      <c r="G122" s="21"/>
      <c r="H122" s="22"/>
      <c r="I122" s="22"/>
      <c r="J122" s="22"/>
    </row>
    <row r="123" spans="1:10" ht="22.5" customHeight="1" x14ac:dyDescent="0.15">
      <c r="A123" s="19"/>
      <c r="B123" s="19"/>
      <c r="C123" s="21" t="s">
        <v>1985</v>
      </c>
      <c r="D123" s="21"/>
      <c r="E123" s="22"/>
      <c r="F123" s="21"/>
      <c r="G123" s="21"/>
      <c r="H123" s="22"/>
      <c r="I123" s="22"/>
      <c r="J123" s="22"/>
    </row>
    <row r="124" spans="1:10" ht="7.5" customHeight="1" x14ac:dyDescent="0.15">
      <c r="A124" s="19"/>
      <c r="B124" s="19"/>
      <c r="C124" s="21"/>
      <c r="D124" s="21"/>
      <c r="E124" s="22"/>
      <c r="F124" s="21"/>
      <c r="G124" s="21"/>
      <c r="H124" s="22"/>
      <c r="I124" s="22"/>
      <c r="J124" s="22"/>
    </row>
    <row r="125" spans="1:10" ht="22.5" customHeight="1" x14ac:dyDescent="0.15">
      <c r="A125" s="19"/>
      <c r="B125" s="19"/>
      <c r="C125" s="21" t="s">
        <v>1986</v>
      </c>
      <c r="D125" s="21"/>
      <c r="E125" s="22"/>
      <c r="F125" s="21"/>
      <c r="G125" s="21"/>
      <c r="H125" s="22"/>
      <c r="I125" s="22"/>
      <c r="J125" s="22"/>
    </row>
    <row r="126" spans="1:10" ht="9.75" customHeight="1" x14ac:dyDescent="0.15">
      <c r="A126" s="19"/>
      <c r="B126" s="19"/>
      <c r="C126" s="21"/>
      <c r="D126" s="21"/>
      <c r="E126" s="22"/>
      <c r="F126" s="21"/>
      <c r="G126" s="21"/>
      <c r="H126" s="22"/>
      <c r="I126" s="22"/>
      <c r="J126" s="22"/>
    </row>
    <row r="127" spans="1:10" ht="22.5" customHeight="1" x14ac:dyDescent="0.15">
      <c r="A127" s="18"/>
      <c r="B127" s="18"/>
      <c r="C127" s="19"/>
      <c r="D127" s="19"/>
      <c r="E127" s="18"/>
      <c r="F127" s="19"/>
      <c r="G127" s="19"/>
      <c r="H127" s="18"/>
      <c r="I127" s="18"/>
      <c r="J127" s="18"/>
    </row>
    <row r="128" spans="1:10" ht="22.5" customHeight="1" x14ac:dyDescent="0.15"/>
    <row r="129" ht="22.5" customHeight="1" x14ac:dyDescent="0.15"/>
    <row r="163" spans="1:10" ht="13.5" x14ac:dyDescent="0.15">
      <c r="A163" s="62"/>
      <c r="B163" s="62"/>
      <c r="C163" s="63"/>
      <c r="D163" s="63"/>
      <c r="E163" s="62"/>
      <c r="F163" s="63"/>
      <c r="G163" s="63"/>
      <c r="H163" s="62"/>
      <c r="I163" s="62"/>
      <c r="J163" s="62"/>
    </row>
    <row r="164" spans="1:10" ht="13.5" x14ac:dyDescent="0.15">
      <c r="A164" s="62"/>
      <c r="B164" s="62"/>
      <c r="C164" s="63"/>
      <c r="D164" s="63"/>
      <c r="E164" s="62"/>
      <c r="F164" s="63"/>
      <c r="G164" s="63"/>
      <c r="H164" s="62"/>
      <c r="I164" s="62"/>
      <c r="J164" s="62"/>
    </row>
    <row r="165" spans="1:10" ht="13.5" x14ac:dyDescent="0.15">
      <c r="A165" s="62"/>
      <c r="B165" s="62"/>
      <c r="C165" s="63"/>
      <c r="D165" s="63"/>
      <c r="E165" s="62"/>
      <c r="F165" s="63"/>
      <c r="G165" s="63"/>
      <c r="H165" s="62"/>
      <c r="I165" s="62"/>
      <c r="J165" s="62"/>
    </row>
    <row r="166" spans="1:10" ht="13.5" x14ac:dyDescent="0.15">
      <c r="A166" s="62"/>
      <c r="B166" s="62"/>
      <c r="C166" s="63"/>
      <c r="D166" s="63"/>
      <c r="E166" s="62"/>
      <c r="F166" s="63"/>
      <c r="G166" s="63"/>
      <c r="H166" s="62"/>
      <c r="I166" s="62"/>
      <c r="J166" s="62"/>
    </row>
    <row r="167" spans="1:10" ht="13.5" x14ac:dyDescent="0.15">
      <c r="A167" s="62"/>
      <c r="B167" s="62"/>
      <c r="C167" s="63"/>
      <c r="D167" s="63"/>
      <c r="E167" s="62"/>
      <c r="F167" s="63"/>
      <c r="G167" s="63"/>
      <c r="H167" s="62"/>
      <c r="I167" s="62"/>
      <c r="J167" s="62"/>
    </row>
    <row r="168" spans="1:10" ht="13.5" x14ac:dyDescent="0.15">
      <c r="A168" s="62"/>
      <c r="B168" s="62"/>
      <c r="C168" s="63"/>
      <c r="D168" s="63"/>
      <c r="E168" s="62"/>
      <c r="F168" s="63"/>
      <c r="G168" s="63"/>
      <c r="H168" s="62"/>
      <c r="I168" s="62"/>
      <c r="J168" s="62"/>
    </row>
    <row r="169" spans="1:10" ht="13.5" x14ac:dyDescent="0.15">
      <c r="A169" s="62"/>
      <c r="B169" s="62"/>
      <c r="C169" s="63"/>
      <c r="D169" s="63"/>
      <c r="E169" s="62"/>
      <c r="F169" s="63"/>
      <c r="G169" s="63"/>
      <c r="H169" s="62"/>
      <c r="I169" s="62"/>
      <c r="J169" s="62"/>
    </row>
    <row r="170" spans="1:10" ht="13.5" x14ac:dyDescent="0.15">
      <c r="A170" s="62"/>
      <c r="B170" s="62"/>
      <c r="C170" s="63"/>
      <c r="D170" s="63"/>
      <c r="E170" s="62"/>
      <c r="F170" s="63"/>
      <c r="G170" s="63"/>
      <c r="H170" s="62"/>
      <c r="I170" s="62"/>
      <c r="J170" s="62"/>
    </row>
    <row r="171" spans="1:10" ht="13.5" x14ac:dyDescent="0.15">
      <c r="A171" s="62"/>
      <c r="B171" s="62"/>
      <c r="C171" s="63"/>
      <c r="D171" s="63"/>
      <c r="E171" s="62"/>
      <c r="F171" s="63"/>
      <c r="G171" s="63"/>
      <c r="H171" s="62"/>
      <c r="I171" s="62"/>
      <c r="J171" s="62"/>
    </row>
  </sheetData>
  <mergeCells count="9">
    <mergeCell ref="A1:J1"/>
    <mergeCell ref="A2:J2"/>
    <mergeCell ref="A3:J3"/>
    <mergeCell ref="A171:J171"/>
    <mergeCell ref="C169:J170"/>
    <mergeCell ref="C167:J168"/>
    <mergeCell ref="C165:J166"/>
    <mergeCell ref="C163:J164"/>
    <mergeCell ref="A163:B170"/>
  </mergeCells>
  <phoneticPr fontId="11" type="noConversion"/>
  <dataValidations count="1">
    <dataValidation type="list" allowBlank="1" showInputMessage="1" showErrorMessage="1" sqref="J110:J114 J115:J117" xr:uid="{00000000-0002-0000-0B00-000000000000}">
      <formula1>$U$2:$U$3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20240422</vt:lpstr>
      <vt:lpstr>20240412</vt:lpstr>
      <vt:lpstr>20240329</vt:lpstr>
      <vt:lpstr>20240320</vt:lpstr>
      <vt:lpstr>20240314</vt:lpstr>
      <vt:lpstr>20240307</vt:lpstr>
      <vt:lpstr>20240229</vt:lpstr>
      <vt:lpstr>20240227</vt:lpstr>
      <vt:lpstr>20240208</vt:lpstr>
      <vt:lpstr>20240131</vt:lpstr>
      <vt:lpstr>20240130</vt:lpstr>
      <vt:lpstr>20240129</vt:lpstr>
      <vt:lpstr>'20240131'!Print_Area</vt:lpstr>
      <vt:lpstr>'20240208'!Print_Area</vt:lpstr>
      <vt:lpstr>'20240227'!Print_Area</vt:lpstr>
      <vt:lpstr>'20240229'!Print_Area</vt:lpstr>
      <vt:lpstr>'20240307'!Print_Area</vt:lpstr>
      <vt:lpstr>'20240314'!Print_Area</vt:lpstr>
      <vt:lpstr>'20240320'!Print_Area</vt:lpstr>
      <vt:lpstr>'20240329'!Print_Area</vt:lpstr>
      <vt:lpstr>'20240412'!Print_Area</vt:lpstr>
      <vt:lpstr>'20240422'!Print_Area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需 中孚</cp:lastModifiedBy>
  <dcterms:created xsi:type="dcterms:W3CDTF">2024-01-31T08:27:00Z</dcterms:created>
  <dcterms:modified xsi:type="dcterms:W3CDTF">2024-05-05T11:44:20Z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  <property fmtid="{D5CDD505-2E9C-101B-9397-08002B2CF9AE}" pid="3" name="KSOReadingLayout">
    <vt:bool>true</vt:bool>
  </property>
</Properties>
</file>