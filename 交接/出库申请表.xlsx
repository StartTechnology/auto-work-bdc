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765"/>
  </bookViews>
  <sheets>
    <sheet name="20240428" sheetId="27" r:id="rId1"/>
    <sheet name="20240423" sheetId="26" r:id="rId2"/>
    <sheet name="20240416" sheetId="25" r:id="rId3"/>
    <sheet name="20240412" sheetId="23" r:id="rId4"/>
    <sheet name="20240409" sheetId="24" r:id="rId5"/>
    <sheet name="20240408" sheetId="22" r:id="rId6"/>
    <sheet name="20240402" sheetId="21" r:id="rId7"/>
    <sheet name="未结清出库20240329" sheetId="18" r:id="rId8"/>
    <sheet name="20240329" sheetId="20" r:id="rId9"/>
    <sheet name="20240328" sheetId="19" r:id="rId10"/>
    <sheet name="未结清出库20240326" sheetId="15" r:id="rId11"/>
    <sheet name="20240326" sheetId="17" r:id="rId12"/>
    <sheet name="20240321" sheetId="16" r:id="rId13"/>
    <sheet name="20240320" sheetId="14" r:id="rId14"/>
    <sheet name="20240314" sheetId="13" r:id="rId15"/>
    <sheet name="20240307未结清胡库" sheetId="11" r:id="rId16"/>
    <sheet name="20240307" sheetId="12" r:id="rId17"/>
    <sheet name="20240305" sheetId="10" r:id="rId18"/>
    <sheet name="20240229" sheetId="9" r:id="rId19"/>
    <sheet name="20240227" sheetId="8" r:id="rId20"/>
    <sheet name="20240221" sheetId="7" r:id="rId21"/>
    <sheet name="20240208未结清出库" sheetId="5" r:id="rId22"/>
    <sheet name="20240208" sheetId="6" r:id="rId23"/>
    <sheet name="20240205" sheetId="4" r:id="rId24"/>
  </sheets>
  <externalReferences>
    <externalReference r:id="rId25"/>
  </externalReferences>
  <definedNames>
    <definedName name="_xlnm.Print_Titles" localSheetId="21">'20240208未结清出库'!$4:$4</definedName>
    <definedName name="_xlnm.Print_Area" localSheetId="13">'20240320'!$A$1:$H$42</definedName>
    <definedName name="_xlnm.Print_Area" localSheetId="20">'20240221'!$A$1:$H$44</definedName>
    <definedName name="_xlnm.Print_Area" localSheetId="16">'20240307'!$A$1:$H$42</definedName>
    <definedName name="_xlnm.Print_Area" localSheetId="19">'20240227'!$A$1:$H$42</definedName>
    <definedName name="首行" localSheetId="7">[1]下拉框选项!$B$2:$G$2</definedName>
    <definedName name="_xlnm.Print_Titles" localSheetId="7">未结清出库20240329!$4:$4</definedName>
    <definedName name="_xlnm.Print_Area" localSheetId="12">'20240321'!$A$1:$H$42</definedName>
    <definedName name="_xlnm.Print_Area" localSheetId="18">'20240229'!$A$1:$H$42</definedName>
    <definedName name="_xlnm.Print_Titles" localSheetId="15">'20240307未结清胡库'!$4:$4</definedName>
    <definedName name="_xlnm.Print_Area" localSheetId="22">'20240208'!$A$1:$H$42</definedName>
    <definedName name="_xlnm.Print_Titles" localSheetId="10">未结清出库20240326!$4:$4</definedName>
    <definedName name="_xlnm.Print_Area" localSheetId="14">'20240314'!$A$1:$H$42</definedName>
    <definedName name="_xlnm.Print_Area" localSheetId="23">'20240205'!$A$1:$H$41</definedName>
    <definedName name="_xlnm.Print_Area" localSheetId="17">'20240305'!$A$1:$H$42</definedName>
    <definedName name="_xlnm.Print_Area" localSheetId="11">'20240326'!$A$1:$H$45</definedName>
    <definedName name="首行" localSheetId="11">[1]下拉框选项!$B$2:$G$2</definedName>
    <definedName name="首行">[1]下拉框选项!$B$2:$G$2</definedName>
    <definedName name="_xlnm.Print_Area" localSheetId="9">'20240328'!$A$1:$H$45</definedName>
    <definedName name="首行" localSheetId="9">[1]下拉框选项!$B$2:$G$2</definedName>
    <definedName name="_xlnm.Print_Area" localSheetId="8">'20240329'!$A$1:$H$49</definedName>
    <definedName name="首行" localSheetId="8">[1]下拉框选项!$B$2:$G$2</definedName>
    <definedName name="_xlnm.Print_Area" localSheetId="6">'20240402'!$A$1:$H$49</definedName>
    <definedName name="首行" localSheetId="6">[1]下拉框选项!$B$2:$G$2</definedName>
    <definedName name="_xlnm.Print_Area" localSheetId="5">'20240408'!$A$1:$H$49</definedName>
    <definedName name="首行" localSheetId="5">[1]下拉框选项!$B$2:$G$2</definedName>
    <definedName name="_xlnm.Print_Area" localSheetId="3">'20240412'!$A$1:$H$49</definedName>
    <definedName name="首行" localSheetId="3">[1]下拉框选项!$B$2:$G$2</definedName>
    <definedName name="_xlnm.Print_Area" localSheetId="4">'20240409'!$A$1:$H$49</definedName>
    <definedName name="首行" localSheetId="4">[1]下拉框选项!$B$2:$G$2</definedName>
    <definedName name="_xlnm.Print_Area" localSheetId="2">'20240416'!$A$1:$H$49</definedName>
    <definedName name="首行" localSheetId="2">[1]下拉框选项!$B$2:$G$2</definedName>
    <definedName name="_xlnm.Print_Area" localSheetId="1">'20240423'!$A$1:$H$54</definedName>
    <definedName name="首行" localSheetId="1">[1]下拉框选项!$B$2:$G$2</definedName>
    <definedName name="_xlnm.Print_Area" localSheetId="0">'20240428'!$A$1:$H$38</definedName>
    <definedName name="首行" localSheetId="0">[1]下拉框选项!$B$2:$G$2</definedName>
  </definedNames>
  <calcPr calcId="144525" calcMode="manual" calcCompleted="0" calcOnSave="0"/>
</workbook>
</file>

<file path=xl/sharedStrings.xml><?xml version="1.0" encoding="utf-8"?>
<sst xmlns="http://schemas.openxmlformats.org/spreadsheetml/2006/main" count="2055" uniqueCount="712">
  <si>
    <t>中国邮政储蓄银行吉安市分行抵（质）押品出库审批</t>
  </si>
  <si>
    <t>移交日期 ：2024年  月  日               编号:01</t>
  </si>
  <si>
    <t>申请出库权证清单</t>
  </si>
  <si>
    <t>序号</t>
  </si>
  <si>
    <t>入库编号</t>
  </si>
  <si>
    <t>封包编号</t>
  </si>
  <si>
    <t>借款人名称</t>
  </si>
  <si>
    <t>抵质押人名称</t>
  </si>
  <si>
    <t>押品权证名称</t>
  </si>
  <si>
    <t>数量</t>
  </si>
  <si>
    <t>备注</t>
  </si>
  <si>
    <t>23121711FQ3600006301015</t>
  </si>
  <si>
    <t>张连文</t>
  </si>
  <si>
    <t>车贷</t>
  </si>
  <si>
    <t>23121715FQ3600006301009</t>
  </si>
  <si>
    <t>吴国平</t>
  </si>
  <si>
    <t>23121715FQ3600006301028</t>
  </si>
  <si>
    <t>周娟</t>
  </si>
  <si>
    <t>20211202043600006305002</t>
  </si>
  <si>
    <t>王求善</t>
  </si>
  <si>
    <t>王求善 黄捌连</t>
  </si>
  <si>
    <t>综消</t>
  </si>
  <si>
    <t>23121815043600006305009</t>
  </si>
  <si>
    <t>林春德</t>
  </si>
  <si>
    <t>20230506043600006304001</t>
  </si>
  <si>
    <t>刘咏晖</t>
  </si>
  <si>
    <t>刘咏晖 黄苏兰</t>
  </si>
  <si>
    <t>商贷</t>
  </si>
  <si>
    <t>20200503043600006305014</t>
  </si>
  <si>
    <t>欧阳国晖</t>
  </si>
  <si>
    <t>欧阳玲</t>
  </si>
  <si>
    <t>一手房</t>
  </si>
  <si>
    <t>20210518043699950Q05059</t>
  </si>
  <si>
    <t>龙继龙</t>
  </si>
  <si>
    <t>20210804043699950Q05054</t>
  </si>
  <si>
    <t>罗丹丹</t>
  </si>
  <si>
    <t>20231026043601030405042</t>
  </si>
  <si>
    <t>夏候秀华</t>
  </si>
  <si>
    <t>20231026043601030405044</t>
  </si>
  <si>
    <t>罗杰群</t>
  </si>
  <si>
    <t>胡香珠</t>
  </si>
  <si>
    <t>20231021043601030405005</t>
  </si>
  <si>
    <t>周义寿</t>
  </si>
  <si>
    <t>谢根琴</t>
  </si>
  <si>
    <t>20231022043601030405024</t>
  </si>
  <si>
    <t>胡红平</t>
  </si>
  <si>
    <t>袁辉兰</t>
  </si>
  <si>
    <t>出库原因：贷款已结清，额度已注销.</t>
  </si>
  <si>
    <t>拟定再次入库时间：　　 　　　　　　　　             日期： 　　年  月  　日</t>
  </si>
  <si>
    <t>申请部门</t>
  </si>
  <si>
    <t>申请人签字：                           日期：    年   月    日</t>
  </si>
  <si>
    <t>部门负责人签字：                       日期：    年   月    日</t>
  </si>
  <si>
    <t>分管行领导</t>
  </si>
  <si>
    <t xml:space="preserve">    分管行领导意见：</t>
  </si>
  <si>
    <t>签字：                                 日期：    年   月    日</t>
  </si>
  <si>
    <t>权证保管部门</t>
  </si>
  <si>
    <t>权证保管人员签字：                     日期：    年   月    日</t>
  </si>
  <si>
    <t>封包出库日期</t>
  </si>
  <si>
    <t>接收人员一签字：                       日期：    年    月   日</t>
  </si>
  <si>
    <t>接收人员二签字：                       日期：    年    月   日</t>
  </si>
  <si>
    <t>出库</t>
  </si>
  <si>
    <t>船舶</t>
  </si>
  <si>
    <t>再就业、小贷</t>
  </si>
  <si>
    <t>其他定期单</t>
  </si>
  <si>
    <t>二手房</t>
  </si>
  <si>
    <t>小企业</t>
  </si>
  <si>
    <t>23121713FQ3600006301018</t>
  </si>
  <si>
    <t>陈世庆</t>
  </si>
  <si>
    <t>20210402043600006305005</t>
  </si>
  <si>
    <t>易玉花</t>
  </si>
  <si>
    <t>24012614043600006305002</t>
  </si>
  <si>
    <t>陈冬华</t>
  </si>
  <si>
    <t>王金秀</t>
  </si>
  <si>
    <t>20220322043600006304002</t>
  </si>
  <si>
    <t>聂发基</t>
  </si>
  <si>
    <t>聂发基 曾芳</t>
  </si>
  <si>
    <t>20220415043600006304001</t>
  </si>
  <si>
    <t>朱婧</t>
  </si>
  <si>
    <t>叶建辉 朱婧</t>
  </si>
  <si>
    <t>23121612043600006304008</t>
  </si>
  <si>
    <t>肖云华</t>
  </si>
  <si>
    <t>周小琴 李志强 王炜炎 肖云华</t>
  </si>
  <si>
    <t>23121710043600006304013</t>
  </si>
  <si>
    <t>陈志娟</t>
  </si>
  <si>
    <t>陈志娟 肖志凌</t>
  </si>
  <si>
    <t>20200830043699950Q05020</t>
  </si>
  <si>
    <t>屈桂鸿</t>
  </si>
  <si>
    <t>20201127043699950Q05023</t>
  </si>
  <si>
    <t>罗竞</t>
  </si>
  <si>
    <t>罗竞/刘巧玲</t>
  </si>
  <si>
    <t>20210421043699950Q05089</t>
  </si>
  <si>
    <t>彭宇忠</t>
  </si>
  <si>
    <t>彭宇忠 周梅梅</t>
  </si>
  <si>
    <t>20210721043601031605002</t>
  </si>
  <si>
    <t>王艳萍</t>
  </si>
  <si>
    <t>王艳萍/谢裕兵</t>
  </si>
  <si>
    <t>20211021043699950Q05068</t>
  </si>
  <si>
    <t>彭子香</t>
  </si>
  <si>
    <t>20211026043699950Q05002</t>
  </si>
  <si>
    <t>汤荣玲</t>
  </si>
  <si>
    <t>汤荣玲 孙腾飞</t>
  </si>
  <si>
    <t>20220127043699950Q05007</t>
  </si>
  <si>
    <t>李苏军</t>
  </si>
  <si>
    <t>李苏军 王豫美</t>
  </si>
  <si>
    <t>20220428043601033005005</t>
  </si>
  <si>
    <t>杨小兰</t>
  </si>
  <si>
    <t>20220706043699950Q05015</t>
  </si>
  <si>
    <t>朱顺忠</t>
  </si>
  <si>
    <t>朱顺忠 黄津</t>
  </si>
  <si>
    <t>20230506043699950Q05008</t>
  </si>
  <si>
    <t>曾松龄</t>
  </si>
  <si>
    <t>20231021043699950Q05059</t>
  </si>
  <si>
    <t>黄华兰</t>
  </si>
  <si>
    <t>20231026043601033005028</t>
  </si>
  <si>
    <t>卢锋</t>
  </si>
  <si>
    <t>20231031043699950Q05003</t>
  </si>
  <si>
    <t>吴吉祥</t>
  </si>
  <si>
    <t>吴吉祥、王秋珍</t>
  </si>
  <si>
    <t>23121715043600006305021</t>
  </si>
  <si>
    <t>罗振宏</t>
  </si>
  <si>
    <t>20231019043699950Q05036</t>
  </si>
  <si>
    <t>郭丛立</t>
  </si>
  <si>
    <t>23121718043600006305001</t>
  </si>
  <si>
    <t>邱秋华</t>
  </si>
  <si>
    <t>23121719043600006305049</t>
  </si>
  <si>
    <t>傅小桃</t>
  </si>
  <si>
    <t>傅小桃 左靖</t>
  </si>
  <si>
    <t>23121720043600006305001</t>
  </si>
  <si>
    <t>康露</t>
  </si>
  <si>
    <t>陈通 康露</t>
  </si>
  <si>
    <t>20231026043601027805011</t>
  </si>
  <si>
    <t>肖金生</t>
  </si>
  <si>
    <t>周春莲、肖金生</t>
  </si>
  <si>
    <t>23121911043600006305004</t>
  </si>
  <si>
    <t>罗星兰</t>
  </si>
  <si>
    <t>肖霞、罗星兰</t>
  </si>
  <si>
    <t>23121918043600006305035</t>
  </si>
  <si>
    <t>谢作为</t>
  </si>
  <si>
    <t>姚金平 谢作为</t>
  </si>
  <si>
    <t>23121712043600006305004</t>
  </si>
  <si>
    <t>肖军保</t>
  </si>
  <si>
    <t>肖军保、李银秀</t>
  </si>
  <si>
    <t>20200531043600006305041</t>
  </si>
  <si>
    <t>李皆林</t>
  </si>
  <si>
    <t>20200719043600006305012</t>
  </si>
  <si>
    <t>曾琼慧</t>
  </si>
  <si>
    <t>20210125043699950Q05019</t>
  </si>
  <si>
    <t>罗敬华</t>
  </si>
  <si>
    <t>罗敬华、张永丽</t>
  </si>
  <si>
    <t>20210315043699950Q05001</t>
  </si>
  <si>
    <t>谢兰香</t>
  </si>
  <si>
    <t>谢兰香 徐建生</t>
  </si>
  <si>
    <t>20210315043699950Q05009</t>
  </si>
  <si>
    <t>贺志刚</t>
  </si>
  <si>
    <t>20210615043699950Q05013</t>
  </si>
  <si>
    <t>徐进</t>
  </si>
  <si>
    <t>徐进  邹婷</t>
  </si>
  <si>
    <t>20220810043601033005005</t>
  </si>
  <si>
    <t>周欣</t>
  </si>
  <si>
    <t>周欣 黄舒岚</t>
  </si>
  <si>
    <t>20220929043601033005007</t>
  </si>
  <si>
    <t>段万钟</t>
  </si>
  <si>
    <t>20230315043699950Q05014</t>
  </si>
  <si>
    <t>罗鑫</t>
  </si>
  <si>
    <t>20230524043601033005002</t>
  </si>
  <si>
    <t>金玉萍</t>
  </si>
  <si>
    <t>20231026043601027805003</t>
  </si>
  <si>
    <t>谢小瑛</t>
  </si>
  <si>
    <t>王玉华</t>
  </si>
  <si>
    <t>20231020043601027805107</t>
  </si>
  <si>
    <t>李青飞</t>
  </si>
  <si>
    <t>李琴</t>
  </si>
  <si>
    <t>20231026043601030405008</t>
  </si>
  <si>
    <t>龙小涛</t>
  </si>
  <si>
    <t>孙小丹</t>
  </si>
  <si>
    <t>23122115043600006305013</t>
  </si>
  <si>
    <t>李继增</t>
  </si>
  <si>
    <t>郭正凤 李继增</t>
  </si>
  <si>
    <t>20231025043601033005046</t>
  </si>
  <si>
    <t>李高平</t>
  </si>
  <si>
    <t>余小龙 李高平</t>
  </si>
  <si>
    <t>20231020043601027805109</t>
  </si>
  <si>
    <t>刘小根</t>
  </si>
  <si>
    <t>刘见红 刘小根</t>
  </si>
  <si>
    <t>20231019043699950Q05038</t>
  </si>
  <si>
    <t>罗剑容</t>
  </si>
  <si>
    <t>罗剑容  罗建红</t>
  </si>
  <si>
    <t>20231031043699950Q05019</t>
  </si>
  <si>
    <t>龙志刚</t>
  </si>
  <si>
    <t>龙志刚 刘小兰</t>
  </si>
  <si>
    <t>23121916043600006305022</t>
  </si>
  <si>
    <t>龙明</t>
  </si>
  <si>
    <t>龙明、欧阳强飞</t>
  </si>
  <si>
    <t>23121714FQ3600006301048</t>
  </si>
  <si>
    <t>黄清</t>
  </si>
  <si>
    <t>24011614FQ3600006301003</t>
  </si>
  <si>
    <t>欧阳建鑫</t>
  </si>
  <si>
    <t>24022310043600006305035</t>
  </si>
  <si>
    <t>巫奕苹</t>
  </si>
  <si>
    <t>20200609043600006305004</t>
  </si>
  <si>
    <t>万惠平</t>
  </si>
  <si>
    <t>万惠平、王爱萍</t>
  </si>
  <si>
    <t>20220526043600006304005</t>
  </si>
  <si>
    <t>毛苏妹</t>
  </si>
  <si>
    <t>毛苏妹 毛中龙</t>
  </si>
  <si>
    <t>20200929043699950Q05001</t>
  </si>
  <si>
    <t>张全生</t>
  </si>
  <si>
    <t>张全生//欧阳呈香</t>
  </si>
  <si>
    <t>20211129043699950Q05025</t>
  </si>
  <si>
    <t>刘名富</t>
  </si>
  <si>
    <t>刘名富 李庆珍</t>
  </si>
  <si>
    <t>20220713043601027805022</t>
  </si>
  <si>
    <t>曾小华</t>
  </si>
  <si>
    <t>曾小华 罗丽娟</t>
  </si>
  <si>
    <t>23121917043600006305033</t>
  </si>
  <si>
    <t>符宏元</t>
  </si>
  <si>
    <t>符宏元、张雪英</t>
  </si>
  <si>
    <t>20230112043600006305001</t>
  </si>
  <si>
    <t>肖吉平</t>
  </si>
  <si>
    <t>20210719043600006304002</t>
  </si>
  <si>
    <t>曾程妹</t>
  </si>
  <si>
    <t>23121709043600006305005</t>
  </si>
  <si>
    <t>吴桂芳</t>
  </si>
  <si>
    <t>23121611043600006304039</t>
  </si>
  <si>
    <t>王露萍</t>
  </si>
  <si>
    <t>崔培英</t>
  </si>
  <si>
    <t>23121611043600006304049</t>
  </si>
  <si>
    <t>黄雪花</t>
  </si>
  <si>
    <t>唐钦 黄雪花</t>
  </si>
  <si>
    <t>23121613043600006304025</t>
  </si>
  <si>
    <t>王仁兴</t>
  </si>
  <si>
    <t>王仁兴 戴江兰</t>
  </si>
  <si>
    <t>23121814043600006304005</t>
  </si>
  <si>
    <t>林冬梅</t>
  </si>
  <si>
    <t>林冬梅、林春德</t>
  </si>
  <si>
    <t>20200929043699950Q05017</t>
  </si>
  <si>
    <t>温声辉</t>
  </si>
  <si>
    <t>温声辉/曾新花</t>
  </si>
  <si>
    <t>20220324043699950Q05010</t>
  </si>
  <si>
    <t>潘辉</t>
  </si>
  <si>
    <t>20231020043601027805004</t>
  </si>
  <si>
    <t>陈小彬</t>
  </si>
  <si>
    <t>李苏珍</t>
  </si>
  <si>
    <t>20231020043601027805020</t>
  </si>
  <si>
    <t>罗永亮</t>
  </si>
  <si>
    <t>罗永亮、郭小芸</t>
  </si>
  <si>
    <t>20231020043601027805090</t>
  </si>
  <si>
    <t>曾建文</t>
  </si>
  <si>
    <t>曾建文、李冬梅</t>
  </si>
  <si>
    <t>23121719043600006305024</t>
  </si>
  <si>
    <t>张泰</t>
  </si>
  <si>
    <t>23121720043600006305070</t>
  </si>
  <si>
    <t>何永艳</t>
  </si>
  <si>
    <t>陈愈煌、何永艳</t>
  </si>
  <si>
    <t>23121918043600006305026</t>
  </si>
  <si>
    <t>郭伟</t>
  </si>
  <si>
    <t>宋爱根、郭伟</t>
  </si>
  <si>
    <t>23121816043600006305002</t>
  </si>
  <si>
    <t>王永仁</t>
  </si>
  <si>
    <t>黄小梅</t>
  </si>
  <si>
    <t>23121815043600006305008</t>
  </si>
  <si>
    <t>何勇</t>
  </si>
  <si>
    <t>20220714043600006304009</t>
  </si>
  <si>
    <t>周咪</t>
  </si>
  <si>
    <t>赵成</t>
  </si>
  <si>
    <t>20230322043600006304003</t>
  </si>
  <si>
    <t>周筱英</t>
  </si>
  <si>
    <t>周筱英 吴建斌</t>
  </si>
  <si>
    <t>再就业</t>
  </si>
  <si>
    <t>24021810043600006305001</t>
  </si>
  <si>
    <t>王兴成</t>
  </si>
  <si>
    <t>20200830043699950Q05014</t>
  </si>
  <si>
    <t>刘小霞</t>
  </si>
  <si>
    <t>20210421043699950Q05088</t>
  </si>
  <si>
    <t>王林清</t>
  </si>
  <si>
    <t>王林清 王林清</t>
  </si>
  <si>
    <t>20231020043601030405010</t>
  </si>
  <si>
    <t>黄更生</t>
  </si>
  <si>
    <t>王小梅</t>
  </si>
  <si>
    <t>借款人  名称</t>
  </si>
  <si>
    <t>押品权证 名称</t>
  </si>
  <si>
    <t>接收人</t>
  </si>
  <si>
    <t>20221116043601033005002</t>
  </si>
  <si>
    <t>苏德浩</t>
  </si>
  <si>
    <t>20231026043601033005077</t>
  </si>
  <si>
    <t>邓艳华</t>
  </si>
  <si>
    <t>刘建国</t>
  </si>
  <si>
    <t>23121720043600006305027</t>
  </si>
  <si>
    <t>谢俊</t>
  </si>
  <si>
    <t>20210206043699950Q05071</t>
  </si>
  <si>
    <t>王想礼</t>
  </si>
  <si>
    <t>出库原因：楼盘申请预告证出库转不动产登记</t>
  </si>
  <si>
    <t>风险管理部</t>
  </si>
  <si>
    <t>申请人一签字：                   日期：  2024年    月    日</t>
  </si>
  <si>
    <t>申请人二签字：                   日期：  2024 年   月    日</t>
  </si>
  <si>
    <t>部门负责人签字：                日期：  2024年    月    日</t>
  </si>
  <si>
    <t>分管行领导签字：                日期：  2024年    月    日</t>
  </si>
  <si>
    <t>运营管理部</t>
  </si>
  <si>
    <t>权证保管人员签字：               日期：   2024 年  月   日</t>
  </si>
  <si>
    <t>权证保管人员签字                 日期：  2024年   月    日</t>
  </si>
  <si>
    <t>接收人员一签字：                 日期：  2024年    月   日</t>
  </si>
  <si>
    <t>接收人员二签字：                 日期：  2024年   月   日</t>
  </si>
  <si>
    <t>20230320FQ3600006301007</t>
  </si>
  <si>
    <t>钟梦庄</t>
  </si>
  <si>
    <t>20231024FQ3600006301010</t>
  </si>
  <si>
    <t>曾艳萍</t>
  </si>
  <si>
    <t>23120615FQ3600006301021</t>
  </si>
  <si>
    <t>周阿尧</t>
  </si>
  <si>
    <t>24011614043600006305014</t>
  </si>
  <si>
    <t>易光瞻</t>
  </si>
  <si>
    <t>20230201043600006305003</t>
  </si>
  <si>
    <t>刘春香</t>
  </si>
  <si>
    <t>黄乐 刘春香</t>
  </si>
  <si>
    <t>23121713043600006305003</t>
  </si>
  <si>
    <t>李小梅</t>
  </si>
  <si>
    <t>23121612043600006304026</t>
  </si>
  <si>
    <t>李小玲</t>
  </si>
  <si>
    <t>李小玲 雷辉</t>
  </si>
  <si>
    <t>23121614043600006304002</t>
  </si>
  <si>
    <t>陈勇华</t>
  </si>
  <si>
    <t>陈翔宇</t>
  </si>
  <si>
    <t>23121812043600006304004</t>
  </si>
  <si>
    <t>李新跃</t>
  </si>
  <si>
    <t>李新跃、何亮华</t>
  </si>
  <si>
    <t>20200717043600006305015</t>
  </si>
  <si>
    <t>田继华</t>
  </si>
  <si>
    <t>田继华/梁杰</t>
  </si>
  <si>
    <t>20201022043601030405015</t>
  </si>
  <si>
    <t>胡继经</t>
  </si>
  <si>
    <t>胡继经/李珍</t>
  </si>
  <si>
    <t>20210112043699950Q05034</t>
  </si>
  <si>
    <t>李期斌</t>
  </si>
  <si>
    <t>肖清华、李期斌</t>
  </si>
  <si>
    <t>20210518043699950Q05131</t>
  </si>
  <si>
    <t>彭丽平</t>
  </si>
  <si>
    <t>彭丽平 黄敬安</t>
  </si>
  <si>
    <t>20210518043699950Q05072</t>
  </si>
  <si>
    <t>吴娟</t>
  </si>
  <si>
    <t>吴娟 彭建彬</t>
  </si>
  <si>
    <t>20210622043699950Q05005</t>
  </si>
  <si>
    <t>吴琦</t>
  </si>
  <si>
    <t>20211009043699950Q05002</t>
  </si>
  <si>
    <t>毛小玲</t>
  </si>
  <si>
    <t>毛小玲 何德洪</t>
  </si>
  <si>
    <t>20220720043601033005001</t>
  </si>
  <si>
    <t>张海滨</t>
  </si>
  <si>
    <t>张海滨 夏侯彩云</t>
  </si>
  <si>
    <t>20231026043601030405001</t>
  </si>
  <si>
    <t>张军平</t>
  </si>
  <si>
    <t>罗云芳</t>
  </si>
  <si>
    <t>20231103043601033005007</t>
  </si>
  <si>
    <t>杨珍红</t>
  </si>
  <si>
    <t>23121721043600006305004</t>
  </si>
  <si>
    <t>王冲</t>
  </si>
  <si>
    <t>23121822043600006305005</t>
  </si>
  <si>
    <t>朱桂潭</t>
  </si>
  <si>
    <t>彭立舟、朱桂潭</t>
  </si>
  <si>
    <t>23121917043600006305009</t>
  </si>
  <si>
    <t>杨安平</t>
  </si>
  <si>
    <t>段小君、杨安平</t>
  </si>
  <si>
    <t>23121716FQ3600006301024</t>
  </si>
  <si>
    <t>周波</t>
  </si>
  <si>
    <t>24012314FQ3600006301006</t>
  </si>
  <si>
    <t>伍斌斌</t>
  </si>
  <si>
    <t>20200830043699950Q05019</t>
  </si>
  <si>
    <t>韩玉琴</t>
  </si>
  <si>
    <t>韩玉琴/衡四海</t>
  </si>
  <si>
    <t>20210206043699950Q05027</t>
  </si>
  <si>
    <t>杨亮生</t>
  </si>
  <si>
    <t>20231020043601027805021</t>
  </si>
  <si>
    <t>邓小群</t>
  </si>
  <si>
    <t>邓小群 李辉厚</t>
  </si>
  <si>
    <t>20231025043699950Q05001</t>
  </si>
  <si>
    <t>张小荣</t>
  </si>
  <si>
    <t>彭月莲</t>
  </si>
  <si>
    <t>20231025043699950Q05026</t>
  </si>
  <si>
    <t>黄华</t>
  </si>
  <si>
    <t>肖蕊</t>
  </si>
  <si>
    <t>23121918043600006305056</t>
  </si>
  <si>
    <t>符仁涛</t>
  </si>
  <si>
    <t>20210317043600006304002</t>
  </si>
  <si>
    <t>刘思</t>
  </si>
  <si>
    <t>23121612043600006304006</t>
  </si>
  <si>
    <t>李益红</t>
  </si>
  <si>
    <t>段玉平 李益红</t>
  </si>
  <si>
    <t>23121714043600006305089</t>
  </si>
  <si>
    <t>周小平</t>
  </si>
  <si>
    <t>夏宝凤</t>
  </si>
  <si>
    <t>20200611043600006305024</t>
  </si>
  <si>
    <t>段少彪</t>
  </si>
  <si>
    <t>段少彪/肖霞</t>
  </si>
  <si>
    <t>20210414043699950Q05003</t>
  </si>
  <si>
    <t>刘洪善</t>
  </si>
  <si>
    <t>刘洪善 赵艳萍</t>
  </si>
  <si>
    <t>20210518043699950Q05023</t>
  </si>
  <si>
    <t>李晓根</t>
  </si>
  <si>
    <t>李晓根 袁冬女</t>
  </si>
  <si>
    <t>20210804043699950Q05061</t>
  </si>
  <si>
    <t>张元芳</t>
  </si>
  <si>
    <t>20220804043601027805007</t>
  </si>
  <si>
    <t>胡小英</t>
  </si>
  <si>
    <t>胡小英 陈志彬</t>
  </si>
  <si>
    <t>20230510043601027805007</t>
  </si>
  <si>
    <t>张芳芳</t>
  </si>
  <si>
    <t>李富民 张芳芳</t>
  </si>
  <si>
    <t>20230727043601033005001</t>
  </si>
  <si>
    <t>钱族煌</t>
  </si>
  <si>
    <t>钱族煌 赖明贞</t>
  </si>
  <si>
    <t>20231026043601033005054</t>
  </si>
  <si>
    <t>彭祥华</t>
  </si>
  <si>
    <t>彭祥华、刘冬风</t>
  </si>
  <si>
    <t>20231110043601027805010</t>
  </si>
  <si>
    <t>高启武</t>
  </si>
  <si>
    <t>李凤</t>
  </si>
  <si>
    <t>23121715043600006305023</t>
  </si>
  <si>
    <t>罗志军</t>
  </si>
  <si>
    <t>罗志军、曾招英</t>
  </si>
  <si>
    <t>23121717043600006305005</t>
  </si>
  <si>
    <t>罗小兰</t>
  </si>
  <si>
    <t>23121916043600006305012</t>
  </si>
  <si>
    <t>罗冬云</t>
  </si>
  <si>
    <t>罗冬云、裴丰敏</t>
  </si>
  <si>
    <t>20230320FQ3600006301006</t>
  </si>
  <si>
    <t>张小燕</t>
  </si>
  <si>
    <t>20230331FQ3600006301011</t>
  </si>
  <si>
    <t>胡敏月</t>
  </si>
  <si>
    <t>20231106FQ3600006301010</t>
  </si>
  <si>
    <t>卞宝林</t>
  </si>
  <si>
    <t>23121713FQ3600006301007</t>
  </si>
  <si>
    <t>杨志群</t>
  </si>
  <si>
    <t>23121615043600006305057</t>
  </si>
  <si>
    <t>肖鹤亮</t>
  </si>
  <si>
    <t>龙秀梅</t>
  </si>
  <si>
    <t>20211014043699950Q05010</t>
  </si>
  <si>
    <t>易志群</t>
  </si>
  <si>
    <t>20231021043699950Q05065</t>
  </si>
  <si>
    <t>熊春香</t>
  </si>
  <si>
    <t>接收人签字</t>
  </si>
  <si>
    <t>20200630043600006305010</t>
  </si>
  <si>
    <t>潘俊敏</t>
  </si>
  <si>
    <t>潘俊敏、彭湖香</t>
  </si>
  <si>
    <t>23121709043600006305004</t>
  </si>
  <si>
    <t>黄承杰</t>
  </si>
  <si>
    <t>黄家苟、胡美凤</t>
  </si>
  <si>
    <t>23121812043600006304003</t>
  </si>
  <si>
    <t>谢翔云</t>
  </si>
  <si>
    <t>邱淑珍、谢翔云</t>
  </si>
  <si>
    <t>20220424043600006305001</t>
  </si>
  <si>
    <t>王嘉乐</t>
  </si>
  <si>
    <t>20201016043699950Q05019</t>
  </si>
  <si>
    <t>尹超</t>
  </si>
  <si>
    <t>20201127043601030405002</t>
  </si>
  <si>
    <t>匡贤树</t>
  </si>
  <si>
    <t>匡贤树/袁招艳</t>
  </si>
  <si>
    <t>20210125043699950Q05017</t>
  </si>
  <si>
    <t>匡慧芳</t>
  </si>
  <si>
    <t>匡慧芳、肖峰</t>
  </si>
  <si>
    <t>20220614043699950Q05008</t>
  </si>
  <si>
    <t>李俊明</t>
  </si>
  <si>
    <t>李美寿 李俊明</t>
  </si>
  <si>
    <t>23121715FQ3600006301005</t>
  </si>
  <si>
    <t>黄婷</t>
  </si>
  <si>
    <t>23121710043600006304009</t>
  </si>
  <si>
    <t>汪冬兰</t>
  </si>
  <si>
    <t>张毅平 汪冬兰</t>
  </si>
  <si>
    <t>23121611043600006304041</t>
  </si>
  <si>
    <t>曾明华</t>
  </si>
  <si>
    <t>刘水连 曾明华</t>
  </si>
  <si>
    <t>20211215043600006304002</t>
  </si>
  <si>
    <t>廖卫娟</t>
  </si>
  <si>
    <t>肖剑辉</t>
  </si>
  <si>
    <t>23121613043600006304031</t>
  </si>
  <si>
    <t>肖全英</t>
  </si>
  <si>
    <t>23121709043600006304005</t>
  </si>
  <si>
    <t>章国安</t>
  </si>
  <si>
    <t>傅红玉、章国安</t>
  </si>
  <si>
    <t>20231025043699950Q05015</t>
  </si>
  <si>
    <t>刘孟</t>
  </si>
  <si>
    <t>20210427043600006304003</t>
  </si>
  <si>
    <t>高非</t>
  </si>
  <si>
    <t>彭咏强</t>
  </si>
  <si>
    <t>20200914043600006305003</t>
  </si>
  <si>
    <t>23121615043600006305009</t>
  </si>
  <si>
    <t>舒斯平</t>
  </si>
  <si>
    <t>20200807043600006305001</t>
  </si>
  <si>
    <t>周璇</t>
  </si>
  <si>
    <t>周璇/周一帆</t>
  </si>
  <si>
    <t>20210729043601031605002</t>
  </si>
  <si>
    <t>李明兴</t>
  </si>
  <si>
    <t>李明兴 戈剑英</t>
  </si>
  <si>
    <t>20221202043601033005003</t>
  </si>
  <si>
    <t>刘未</t>
  </si>
  <si>
    <t>20230130043699950Q05005</t>
  </si>
  <si>
    <t>姚鑫</t>
  </si>
  <si>
    <t>20230224043601033005003</t>
  </si>
  <si>
    <t>徐炎</t>
  </si>
  <si>
    <t>20230317043601033005007</t>
  </si>
  <si>
    <t>王丹</t>
  </si>
  <si>
    <t>杨元福 王丹</t>
  </si>
  <si>
    <t>20230331043699950Q05001</t>
  </si>
  <si>
    <t>曾瑜</t>
  </si>
  <si>
    <t>20230524043600006305007</t>
  </si>
  <si>
    <t>邱彩华</t>
  </si>
  <si>
    <t>邱彩华 曹孝贵</t>
  </si>
  <si>
    <t>20231026043601033005072</t>
  </si>
  <si>
    <t>王世武</t>
  </si>
  <si>
    <t>23121716043600006305018</t>
  </si>
  <si>
    <t>邓棉发</t>
  </si>
  <si>
    <t>邓棉发、胡敏</t>
  </si>
  <si>
    <t>23121720043600006305014</t>
  </si>
  <si>
    <t>黄小英</t>
  </si>
  <si>
    <t>23121719043600006305048</t>
  </si>
  <si>
    <t>涂春红</t>
  </si>
  <si>
    <t>涂春红 李木卫</t>
  </si>
  <si>
    <t>23121720043600006305040</t>
  </si>
  <si>
    <t>许玲</t>
  </si>
  <si>
    <t>谢邦强</t>
  </si>
  <si>
    <t>23121909043600006305002</t>
  </si>
  <si>
    <t>王文宾</t>
  </si>
  <si>
    <t>王文宾，王金桃</t>
  </si>
  <si>
    <t>20210419043600006305001</t>
  </si>
  <si>
    <t>刘朝菁</t>
  </si>
  <si>
    <t>刘朝菁 叶春燕</t>
  </si>
  <si>
    <t>20210325043600006304002</t>
  </si>
  <si>
    <t>胡遵湖</t>
  </si>
  <si>
    <t>胡遵湖 龚惠艳</t>
  </si>
  <si>
    <t>没出到</t>
  </si>
  <si>
    <t>23121717043600006304001</t>
  </si>
  <si>
    <t>刘志刚</t>
  </si>
  <si>
    <t>刘志刚、孙水香</t>
  </si>
  <si>
    <t>23121816043600006305012</t>
  </si>
  <si>
    <t>胡大仁</t>
  </si>
  <si>
    <t>陈满芳</t>
  </si>
  <si>
    <t>高琦</t>
  </si>
  <si>
    <t>高琦/袁亭</t>
  </si>
  <si>
    <t>23121917043600006305005</t>
  </si>
  <si>
    <t>熊丹</t>
  </si>
  <si>
    <t>熊丹、熊正昱</t>
  </si>
  <si>
    <t>23121917043600006305010</t>
  </si>
  <si>
    <t>温冬香</t>
  </si>
  <si>
    <t>20231106FQ3600006301001</t>
  </si>
  <si>
    <t>熊紫云</t>
  </si>
  <si>
    <t>23121715FQ3600006301010</t>
  </si>
  <si>
    <t>谢美君</t>
  </si>
  <si>
    <t>20220614043600006304002</t>
  </si>
  <si>
    <t>何志红</t>
  </si>
  <si>
    <t>何志红 曾金明</t>
  </si>
  <si>
    <t>23121611043600006304022</t>
  </si>
  <si>
    <t>周萍利</t>
  </si>
  <si>
    <t>王智文 周萍利</t>
  </si>
  <si>
    <t>20200531043600006305035</t>
  </si>
  <si>
    <t>张波</t>
  </si>
  <si>
    <t>20200719043600006305022</t>
  </si>
  <si>
    <t>20220614043699950Q05014</t>
  </si>
  <si>
    <t>肖嗣钧</t>
  </si>
  <si>
    <t>肖嗣钧 唐双众</t>
  </si>
  <si>
    <t>20231022043601030405022</t>
  </si>
  <si>
    <t>王小羊</t>
  </si>
  <si>
    <t>王小羊、朱燕燕</t>
  </si>
  <si>
    <t>20230808FQ3600006301010</t>
  </si>
  <si>
    <t>梁志林</t>
  </si>
  <si>
    <t>20220130043600006304003</t>
  </si>
  <si>
    <t>刘聪</t>
  </si>
  <si>
    <t>刘建华 刘淑华</t>
  </si>
  <si>
    <t>20210722043601030405001</t>
  </si>
  <si>
    <t>黄春平</t>
  </si>
  <si>
    <t>黄春平/周水红</t>
  </si>
  <si>
    <t>23121918043600006305037</t>
  </si>
  <si>
    <t>阙建华</t>
  </si>
  <si>
    <t>阙建华 范有红</t>
  </si>
  <si>
    <t>23121717FQ3600006301023</t>
  </si>
  <si>
    <t>曾光</t>
  </si>
  <si>
    <t>23121711043600006305019</t>
  </si>
  <si>
    <t>曾明峰</t>
  </si>
  <si>
    <t>彭六英</t>
  </si>
  <si>
    <t>20230802043600006304002</t>
  </si>
  <si>
    <t>刘小丽</t>
  </si>
  <si>
    <t>朱红莲</t>
  </si>
  <si>
    <t>20211021043699950Q05092</t>
  </si>
  <si>
    <t>彭琳</t>
  </si>
  <si>
    <t>20231025043699950Q05077</t>
  </si>
  <si>
    <t>周桂勇</t>
  </si>
  <si>
    <t>陈青花</t>
  </si>
  <si>
    <t>20231025043699950Q05016</t>
  </si>
  <si>
    <t>廖接金</t>
  </si>
  <si>
    <t>罗长干</t>
  </si>
  <si>
    <t>23121920043600006305002</t>
  </si>
  <si>
    <t>罗小虎</t>
  </si>
  <si>
    <t>曾淑兰、罗小虎</t>
  </si>
  <si>
    <t>24011614FQ3600006301011</t>
  </si>
  <si>
    <t>李兴兴</t>
  </si>
  <si>
    <t>20210311043600006305005</t>
  </si>
  <si>
    <t>肖泽峰</t>
  </si>
  <si>
    <t>肖泽峰 彭瑞娇</t>
  </si>
  <si>
    <t>20230307043600006305001</t>
  </si>
  <si>
    <t>王丽</t>
  </si>
  <si>
    <t>胡贵安 王丽</t>
  </si>
  <si>
    <t>23121709043600006305038</t>
  </si>
  <si>
    <t>黄英</t>
  </si>
  <si>
    <t>黄英、龙世恩</t>
  </si>
  <si>
    <t>23121613043600006304026</t>
  </si>
  <si>
    <t>吴友泉</t>
  </si>
  <si>
    <t>吴友泉 张冬香</t>
  </si>
  <si>
    <t>23121711043600006305003</t>
  </si>
  <si>
    <t>杨家明</t>
  </si>
  <si>
    <t>杨帆</t>
  </si>
  <si>
    <t>20200719043600006305043</t>
  </si>
  <si>
    <t>熊训民</t>
  </si>
  <si>
    <t>熊训民/张田力</t>
  </si>
  <si>
    <t>20200824043601030405009</t>
  </si>
  <si>
    <t>陶海春</t>
  </si>
  <si>
    <t>20210518043699950Q05015</t>
  </si>
  <si>
    <t>陈裕华</t>
  </si>
  <si>
    <t>陈裕华 何婷婷</t>
  </si>
  <si>
    <t>20220408043601033005009</t>
  </si>
  <si>
    <t>贺诗聪</t>
  </si>
  <si>
    <t>20231026043601030405015</t>
  </si>
  <si>
    <t>罗小英</t>
  </si>
  <si>
    <t>陈昌文 罗小英</t>
  </si>
  <si>
    <t>20221221043601033005002</t>
  </si>
  <si>
    <t>郭坤</t>
  </si>
  <si>
    <t>吴晓艳 郭坤</t>
  </si>
  <si>
    <t>20231020043601027805059</t>
  </si>
  <si>
    <t>郑长根</t>
  </si>
  <si>
    <t>郑长根、王冬连</t>
  </si>
  <si>
    <t>20231026043601030405007</t>
  </si>
  <si>
    <t>刘晓全</t>
  </si>
  <si>
    <t>彭莉娟</t>
  </si>
  <si>
    <t>23121718043600006305065</t>
  </si>
  <si>
    <t>钟春凤</t>
  </si>
  <si>
    <t>钟春凤、刘正轮</t>
  </si>
  <si>
    <t>20231019043699950Q05029</t>
  </si>
  <si>
    <t>敖辉</t>
  </si>
  <si>
    <t>敖辉、瞿晓霈</t>
  </si>
  <si>
    <t>20220823043600006305004</t>
  </si>
  <si>
    <t>周静</t>
  </si>
  <si>
    <t>20230331043699950Q05006</t>
  </si>
  <si>
    <t>夏中华</t>
  </si>
  <si>
    <t>肖春连</t>
  </si>
  <si>
    <t>23121719043600006305016</t>
  </si>
  <si>
    <t>蔡莉</t>
  </si>
  <si>
    <t>没出到系统做了但没有，向总行报问题单</t>
  </si>
  <si>
    <t>23121818043600006305001</t>
  </si>
  <si>
    <t>龙传</t>
  </si>
  <si>
    <t>20230202043600006304002</t>
  </si>
  <si>
    <t>熊志安</t>
  </si>
  <si>
    <t>熊志安 熊慧华</t>
  </si>
  <si>
    <t>20230801043600006304003</t>
  </si>
  <si>
    <t>周健</t>
  </si>
  <si>
    <t>23121611043600006304037</t>
  </si>
  <si>
    <t>吴寿满</t>
  </si>
  <si>
    <t>吴寿满 黄玉珍</t>
  </si>
  <si>
    <t>20211027043699950Q05001</t>
  </si>
  <si>
    <t>赵文华</t>
  </si>
  <si>
    <t>赵文华 周乐英</t>
  </si>
  <si>
    <t>20230215043601033005009</t>
  </si>
  <si>
    <t>卢媛</t>
  </si>
  <si>
    <t>20230228043699950Q05002</t>
  </si>
  <si>
    <t>刘林锋</t>
  </si>
  <si>
    <t>20230414043601033005009</t>
  </si>
  <si>
    <t>胡忠华</t>
  </si>
  <si>
    <t>黄明清 胡忠华</t>
  </si>
  <si>
    <t>20231110043601027805024</t>
  </si>
  <si>
    <t>曾昭铣</t>
  </si>
  <si>
    <t>曾昭铣 肖美琴</t>
  </si>
  <si>
    <t>23121921043600006305008</t>
  </si>
  <si>
    <t>罗来铃</t>
  </si>
  <si>
    <t>刘丽萍</t>
  </si>
  <si>
    <t>20230317043601033005017</t>
  </si>
  <si>
    <t>邹新华</t>
  </si>
  <si>
    <t>移交日期 ：2024年2月5日               编号:01</t>
  </si>
  <si>
    <t>23121713FQ3600006301012</t>
  </si>
  <si>
    <t>李忠辉</t>
  </si>
  <si>
    <t>23121711FQ3600006301013</t>
  </si>
  <si>
    <t>刘金秀</t>
  </si>
  <si>
    <t>23121711FQ3600006301004</t>
  </si>
  <si>
    <t>欧阳军军</t>
  </si>
  <si>
    <t>20211014043600006304004</t>
  </si>
  <si>
    <t>刘飞飞</t>
  </si>
  <si>
    <t>20200719043600006305039</t>
  </si>
  <si>
    <t>曾青平</t>
  </si>
  <si>
    <t>曾青平/张世银</t>
  </si>
  <si>
    <t>20231026043601033005071</t>
  </si>
  <si>
    <t>曾伟</t>
  </si>
  <si>
    <t>23121717043600006305007</t>
  </si>
  <si>
    <t>郭荣华</t>
  </si>
  <si>
    <t>王爱珍 郭荣华</t>
  </si>
  <si>
    <t>20231110043601027805013</t>
  </si>
  <si>
    <t>黄良辉</t>
  </si>
  <si>
    <t>20210315043699950Q05002</t>
  </si>
  <si>
    <t>梁远瑚</t>
  </si>
  <si>
    <t>梁远瑚 丁萍香</t>
  </si>
  <si>
    <t>20231022043601030405025</t>
  </si>
  <si>
    <t>王俊彪</t>
  </si>
  <si>
    <t>胡秋梅</t>
  </si>
  <si>
    <t>20231025043601033005040</t>
  </si>
  <si>
    <t>吴足生</t>
  </si>
  <si>
    <t>刘红梅</t>
  </si>
  <si>
    <t>20231026043601027805010</t>
  </si>
  <si>
    <t>肖洋</t>
  </si>
  <si>
    <t>20231025043601033005014</t>
  </si>
  <si>
    <t>谢信科</t>
  </si>
  <si>
    <t>谢信科 彭五妹</t>
  </si>
  <si>
    <t>20231025043699950Q05011</t>
  </si>
  <si>
    <t>张和平</t>
  </si>
  <si>
    <t>肖春秀</t>
  </si>
  <si>
    <t>20231020043601030405023</t>
  </si>
  <si>
    <t>刘小青</t>
  </si>
  <si>
    <t>李光勇</t>
  </si>
  <si>
    <t>23121614043600006305003</t>
  </si>
  <si>
    <t>王蒙冬</t>
  </si>
  <si>
    <t>郭小勤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</si>
</sst>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1" formatCode="_ * #,##0_ ;_ * \-#,##0_ ;_ * &quot;-&quot;_ ;_ @_ "/>
    <numFmt numFmtId="176" formatCode="_ \¥* #,##0_ ;_ \¥* \-#,##0_ ;_ \¥* &quot;-&quot;_ ;_ @_ "/>
    <numFmt numFmtId="177" formatCode="yyyy/m/d;@"/>
    <numFmt numFmtId="178" formatCode="yyyy&quot;年&quot;m&quot;月&quot;d&quot;日&quot;;@"/>
    <numFmt numFmtId="179" formatCode="_ \¥* #,##0.00_ ;_ \¥* \-#,##0.00_ ;_ \¥* &quot;-&quot;??_ ;_ @_ "/>
  </numFmts>
  <fonts count="37">
    <font>
      <sz val="11"/>
      <color rgb="FF000000"/>
      <name val="宋体"/>
      <charset val="134"/>
    </font>
    <font>
      <sz val="12"/>
      <name val="仿宋"/>
      <charset val="134"/>
    </font>
    <font>
      <u/>
      <sz val="12"/>
      <name val="仿宋"/>
      <charset val="134"/>
    </font>
    <font>
      <b/>
      <sz val="12"/>
      <name val="仿宋"/>
      <charset val="134"/>
    </font>
    <font>
      <b/>
      <u/>
      <sz val="12"/>
      <name val="仿宋"/>
      <charset val="134"/>
    </font>
    <font>
      <sz val="14"/>
      <name val="仿宋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8"/>
      <name val="宋体"/>
      <charset val="134"/>
    </font>
    <font>
      <u/>
      <sz val="11"/>
      <name val="宋体"/>
      <charset val="134"/>
    </font>
    <font>
      <b/>
      <sz val="11"/>
      <name val="宋体"/>
      <charset val="134"/>
    </font>
    <font>
      <b/>
      <u/>
      <sz val="11"/>
      <name val="宋体"/>
      <charset val="134"/>
    </font>
    <font>
      <sz val="11"/>
      <name val="仿宋"/>
      <charset val="134"/>
    </font>
    <font>
      <sz val="11"/>
      <color rgb="FF000000"/>
      <name val="仿宋"/>
      <charset val="134"/>
    </font>
    <font>
      <sz val="12"/>
      <color rgb="FF000000"/>
      <name val="仿宋"/>
      <charset val="134"/>
    </font>
    <font>
      <sz val="14"/>
      <color rgb="FF000000"/>
      <name val="仿宋"/>
      <charset val="134"/>
    </font>
    <font>
      <sz val="11"/>
      <color indexed="8"/>
      <name val="宋体"/>
      <charset val="134"/>
    </font>
    <font>
      <i/>
      <sz val="11"/>
      <color rgb="FF7F7F7F"/>
      <name val="宋体"/>
      <charset val="134"/>
    </font>
    <font>
      <u/>
      <sz val="11"/>
      <color rgb="FF0000FF"/>
      <name val="宋体"/>
      <charset val="134"/>
    </font>
    <font>
      <sz val="11"/>
      <color rgb="FFFFFFFF"/>
      <name val="宋体"/>
      <charset val="134"/>
    </font>
    <font>
      <b/>
      <sz val="15"/>
      <color rgb="FF1F497D"/>
      <name val="宋体"/>
      <charset val="134"/>
    </font>
    <font>
      <b/>
      <sz val="18"/>
      <color rgb="FF1F497D"/>
      <name val="宋体"/>
      <charset val="134"/>
    </font>
    <font>
      <b/>
      <sz val="11"/>
      <color rgb="FFFFFFFF"/>
      <name val="宋体"/>
      <charset val="134"/>
    </font>
    <font>
      <sz val="11"/>
      <color rgb="FF9C0006"/>
      <name val="宋体"/>
      <charset val="134"/>
    </font>
    <font>
      <b/>
      <sz val="11"/>
      <color rgb="FF000000"/>
      <name val="宋体"/>
      <charset val="134"/>
    </font>
    <font>
      <b/>
      <sz val="11"/>
      <color rgb="FFFA7D00"/>
      <name val="宋体"/>
      <charset val="134"/>
    </font>
    <font>
      <sz val="11"/>
      <color rgb="FF3F3F76"/>
      <name val="宋体"/>
      <charset val="134"/>
    </font>
    <font>
      <u/>
      <sz val="11"/>
      <color rgb="FF800080"/>
      <name val="宋体"/>
      <charset val="134"/>
    </font>
    <font>
      <sz val="11"/>
      <color rgb="FFFA7D00"/>
      <name val="宋体"/>
      <charset val="134"/>
    </font>
    <font>
      <b/>
      <sz val="11"/>
      <color rgb="FF1F497D"/>
      <name val="宋体"/>
      <charset val="134"/>
    </font>
    <font>
      <sz val="11"/>
      <color rgb="FFFF0000"/>
      <name val="宋体"/>
      <charset val="134"/>
    </font>
    <font>
      <b/>
      <sz val="13"/>
      <color rgb="FF1F497D"/>
      <name val="宋体"/>
      <charset val="134"/>
    </font>
    <font>
      <sz val="11"/>
      <color rgb="FF006100"/>
      <name val="宋体"/>
      <charset val="134"/>
    </font>
    <font>
      <b/>
      <sz val="11"/>
      <color rgb="FF3F3F3F"/>
      <name val="宋体"/>
      <charset val="134"/>
    </font>
    <font>
      <sz val="11"/>
      <color rgb="FF9C65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EB9C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4F81BD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rgb="FFA6BFDE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176" fontId="0" fillId="0" borderId="0" applyFill="0" applyProtection="0">
      <alignment vertical="center"/>
    </xf>
    <xf numFmtId="0" fontId="0" fillId="10" borderId="0" applyNumberFormat="0" applyProtection="0">
      <alignment vertical="center"/>
    </xf>
    <xf numFmtId="0" fontId="28" fillId="16" borderId="20" applyNumberFormat="0" applyProtection="0">
      <alignment vertical="center"/>
    </xf>
    <xf numFmtId="179" fontId="0" fillId="0" borderId="0" applyFill="0" applyProtection="0">
      <alignment vertical="center"/>
    </xf>
    <xf numFmtId="41" fontId="0" fillId="0" borderId="0" applyFill="0" applyProtection="0">
      <alignment vertical="center"/>
    </xf>
    <xf numFmtId="0" fontId="0" fillId="13" borderId="0" applyNumberFormat="0" applyProtection="0">
      <alignment vertical="center"/>
    </xf>
    <xf numFmtId="0" fontId="25" fillId="11" borderId="0" applyNumberFormat="0" applyProtection="0">
      <alignment vertical="center"/>
    </xf>
    <xf numFmtId="43" fontId="0" fillId="0" borderId="0" applyFill="0" applyProtection="0">
      <alignment vertical="center"/>
    </xf>
    <xf numFmtId="0" fontId="21" fillId="9" borderId="0" applyNumberFormat="0" applyProtection="0">
      <alignment vertical="center"/>
    </xf>
    <xf numFmtId="0" fontId="20" fillId="0" borderId="0" applyNumberFormat="0" applyFill="0" applyProtection="0">
      <alignment vertical="center"/>
    </xf>
    <xf numFmtId="9" fontId="0" fillId="0" borderId="0" applyFill="0" applyProtection="0">
      <alignment vertical="center"/>
    </xf>
    <xf numFmtId="0" fontId="29" fillId="0" borderId="0" applyNumberFormat="0" applyFill="0" applyProtection="0">
      <alignment vertical="center"/>
    </xf>
    <xf numFmtId="0" fontId="0" fillId="18" borderId="21" applyNumberFormat="0" applyProtection="0">
      <alignment vertical="center"/>
    </xf>
    <xf numFmtId="0" fontId="21" fillId="12" borderId="0" applyNumberFormat="0" applyProtection="0">
      <alignment vertical="center"/>
    </xf>
    <xf numFmtId="0" fontId="31" fillId="0" borderId="0" applyNumberFormat="0" applyFill="0" applyProtection="0">
      <alignment vertical="center"/>
    </xf>
    <xf numFmtId="0" fontId="32" fillId="0" borderId="0" applyNumberFormat="0" applyFill="0" applyProtection="0">
      <alignment vertical="center"/>
    </xf>
    <xf numFmtId="0" fontId="23" fillId="0" borderId="0" applyNumberFormat="0" applyFill="0" applyProtection="0">
      <alignment vertical="center"/>
    </xf>
    <xf numFmtId="0" fontId="19" fillId="0" borderId="0" applyNumberFormat="0" applyFill="0" applyProtection="0">
      <alignment vertical="center"/>
    </xf>
    <xf numFmtId="0" fontId="22" fillId="0" borderId="17" applyNumberFormat="0" applyFill="0" applyProtection="0">
      <alignment vertical="center"/>
    </xf>
    <xf numFmtId="0" fontId="33" fillId="0" borderId="17" applyNumberFormat="0" applyFill="0" applyProtection="0">
      <alignment vertical="center"/>
    </xf>
    <xf numFmtId="0" fontId="21" fillId="25" borderId="0" applyNumberFormat="0" applyProtection="0">
      <alignment vertical="center"/>
    </xf>
    <xf numFmtId="0" fontId="31" fillId="0" borderId="23" applyNumberFormat="0" applyFill="0" applyProtection="0">
      <alignment vertical="center"/>
    </xf>
    <xf numFmtId="0" fontId="21" fillId="29" borderId="0" applyNumberFormat="0" applyProtection="0">
      <alignment vertical="center"/>
    </xf>
    <xf numFmtId="0" fontId="35" fillId="15" borderId="24" applyNumberFormat="0" applyProtection="0">
      <alignment vertical="center"/>
    </xf>
    <xf numFmtId="0" fontId="27" fillId="15" borderId="20" applyNumberFormat="0" applyProtection="0">
      <alignment vertical="center"/>
    </xf>
    <xf numFmtId="0" fontId="24" fillId="8" borderId="18" applyNumberFormat="0" applyProtection="0">
      <alignment vertical="center"/>
    </xf>
    <xf numFmtId="0" fontId="0" fillId="21" borderId="0" applyNumberFormat="0" applyProtection="0">
      <alignment vertical="center"/>
    </xf>
    <xf numFmtId="0" fontId="21" fillId="27" borderId="0" applyNumberFormat="0" applyProtection="0">
      <alignment vertical="center"/>
    </xf>
    <xf numFmtId="0" fontId="30" fillId="0" borderId="22" applyNumberFormat="0" applyFill="0" applyProtection="0">
      <alignment vertical="center"/>
    </xf>
    <xf numFmtId="0" fontId="26" fillId="0" borderId="19" applyNumberFormat="0" applyFill="0" applyProtection="0">
      <alignment vertical="center"/>
    </xf>
    <xf numFmtId="0" fontId="34" fillId="31" borderId="0" applyNumberFormat="0" applyProtection="0">
      <alignment vertical="center"/>
    </xf>
    <xf numFmtId="0" fontId="36" fillId="34" borderId="0" applyNumberFormat="0" applyProtection="0">
      <alignment vertical="center"/>
    </xf>
    <xf numFmtId="0" fontId="0" fillId="28" borderId="0" applyNumberFormat="0" applyProtection="0">
      <alignment vertical="center"/>
    </xf>
    <xf numFmtId="0" fontId="21" fillId="30" borderId="0" applyNumberFormat="0" applyProtection="0">
      <alignment vertical="center"/>
    </xf>
    <xf numFmtId="0" fontId="0" fillId="24" borderId="0" applyNumberFormat="0" applyProtection="0">
      <alignment vertical="center"/>
    </xf>
    <xf numFmtId="0" fontId="0" fillId="33" borderId="0" applyNumberFormat="0" applyProtection="0">
      <alignment vertical="center"/>
    </xf>
    <xf numFmtId="0" fontId="0" fillId="14" borderId="0" applyNumberFormat="0" applyProtection="0">
      <alignment vertical="center"/>
    </xf>
    <xf numFmtId="0" fontId="0" fillId="26" borderId="0" applyNumberFormat="0" applyProtection="0">
      <alignment vertical="center"/>
    </xf>
    <xf numFmtId="0" fontId="21" fillId="23" borderId="0" applyNumberFormat="0" applyProtection="0">
      <alignment vertical="center"/>
    </xf>
    <xf numFmtId="0" fontId="21" fillId="6" borderId="0" applyNumberFormat="0" applyProtection="0">
      <alignment vertical="center"/>
    </xf>
    <xf numFmtId="0" fontId="0" fillId="19" borderId="0" applyNumberFormat="0" applyProtection="0">
      <alignment vertical="center"/>
    </xf>
    <xf numFmtId="0" fontId="0" fillId="32" borderId="0" applyNumberFormat="0" applyProtection="0">
      <alignment vertical="center"/>
    </xf>
    <xf numFmtId="0" fontId="21" fillId="5" borderId="0" applyNumberFormat="0" applyProtection="0">
      <alignment vertical="center"/>
    </xf>
    <xf numFmtId="0" fontId="0" fillId="17" borderId="0" applyNumberFormat="0" applyProtection="0">
      <alignment vertical="center"/>
    </xf>
    <xf numFmtId="0" fontId="21" fillId="4" borderId="0" applyNumberFormat="0" applyProtection="0">
      <alignment vertical="center"/>
    </xf>
    <xf numFmtId="0" fontId="21" fillId="20" borderId="0" applyNumberFormat="0" applyProtection="0">
      <alignment vertical="center"/>
    </xf>
    <xf numFmtId="0" fontId="0" fillId="7" borderId="0" applyNumberFormat="0" applyProtection="0">
      <alignment vertical="center"/>
    </xf>
    <xf numFmtId="0" fontId="21" fillId="22" borderId="0" applyNumberFormat="0" applyProtection="0">
      <alignment vertical="center"/>
    </xf>
    <xf numFmtId="0" fontId="18" fillId="0" borderId="0">
      <alignment vertical="center"/>
    </xf>
  </cellStyleXfs>
  <cellXfs count="13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8" fontId="1" fillId="0" borderId="3" xfId="0" applyNumberFormat="1" applyFont="1" applyFill="1" applyBorder="1" applyAlignment="1">
      <alignment horizontal="center" vertical="center"/>
    </xf>
    <xf numFmtId="0" fontId="8" fillId="0" borderId="0" xfId="0" applyFont="1" applyFill="1" applyAlignment="1"/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/>
    <xf numFmtId="0" fontId="10" fillId="0" borderId="4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left" vertical="center"/>
    </xf>
    <xf numFmtId="0" fontId="9" fillId="0" borderId="9" xfId="0" applyFont="1" applyFill="1" applyBorder="1" applyAlignment="1"/>
    <xf numFmtId="0" fontId="12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 applyProtection="1">
      <alignment horizontal="left" vertical="center"/>
      <protection locked="0"/>
    </xf>
    <xf numFmtId="49" fontId="15" fillId="2" borderId="3" xfId="0" applyNumberFormat="1" applyFont="1" applyFill="1" applyBorder="1" applyAlignment="1" applyProtection="1">
      <alignment horizontal="center" vertical="center"/>
      <protection locked="0"/>
    </xf>
    <xf numFmtId="0" fontId="15" fillId="0" borderId="3" xfId="0" applyFont="1" applyFill="1" applyBorder="1" applyAlignment="1" applyProtection="1">
      <alignment horizontal="center" vertical="center" wrapText="1"/>
      <protection locked="0"/>
    </xf>
    <xf numFmtId="0" fontId="14" fillId="0" borderId="9" xfId="0" applyFont="1" applyFill="1" applyBorder="1" applyAlignment="1"/>
    <xf numFmtId="177" fontId="15" fillId="2" borderId="3" xfId="0" applyNumberFormat="1" applyFont="1" applyFill="1" applyBorder="1" applyAlignment="1" applyProtection="1">
      <alignment horizontal="center" vertical="center"/>
      <protection locked="0"/>
    </xf>
    <xf numFmtId="0" fontId="14" fillId="0" borderId="3" xfId="0" applyFont="1" applyFill="1" applyBorder="1" applyAlignment="1" applyProtection="1">
      <alignment horizontal="center" vertical="center"/>
      <protection locked="0"/>
    </xf>
    <xf numFmtId="0" fontId="14" fillId="0" borderId="9" xfId="0" applyFont="1" applyFill="1" applyBorder="1" applyAlignment="1">
      <alignment wrapText="1"/>
    </xf>
    <xf numFmtId="0" fontId="15" fillId="2" borderId="3" xfId="0" applyFont="1" applyFill="1" applyBorder="1" applyAlignment="1">
      <alignment horizontal="center" vertical="center"/>
    </xf>
    <xf numFmtId="49" fontId="14" fillId="2" borderId="3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49" fontId="14" fillId="0" borderId="3" xfId="0" applyNumberFormat="1" applyFont="1" applyFill="1" applyBorder="1" applyAlignment="1" applyProtection="1">
      <alignment horizontal="center" vertical="center"/>
      <protection locked="0"/>
    </xf>
    <xf numFmtId="0" fontId="14" fillId="0" borderId="3" xfId="0" applyFont="1" applyFill="1" applyBorder="1" applyAlignment="1" applyProtection="1">
      <alignment horizontal="center" vertical="center" wrapText="1"/>
      <protection locked="0"/>
    </xf>
    <xf numFmtId="0" fontId="15" fillId="0" borderId="3" xfId="0" applyFont="1" applyFill="1" applyBorder="1" applyAlignment="1">
      <alignment horizontal="center" vertical="center"/>
    </xf>
    <xf numFmtId="49" fontId="15" fillId="0" borderId="3" xfId="0" applyNumberFormat="1" applyFont="1" applyFill="1" applyBorder="1" applyAlignment="1">
      <alignment horizontal="center" vertical="center" wrapText="1"/>
    </xf>
    <xf numFmtId="0" fontId="16" fillId="0" borderId="3" xfId="0" applyFont="1" applyFill="1" applyBorder="1" applyAlignment="1" applyProtection="1">
      <alignment horizontal="center" vertical="center"/>
      <protection locked="0"/>
    </xf>
    <xf numFmtId="0" fontId="16" fillId="0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  <protection locked="0"/>
    </xf>
    <xf numFmtId="0" fontId="1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7" fontId="15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15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 applyProtection="1">
      <alignment horizontal="center" vertical="center"/>
      <protection locked="0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6" fillId="0" borderId="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 wrapText="1"/>
    </xf>
    <xf numFmtId="177" fontId="15" fillId="0" borderId="3" xfId="0" applyNumberFormat="1" applyFont="1" applyFill="1" applyBorder="1" applyAlignment="1" applyProtection="1">
      <alignment horizontal="center" vertical="center"/>
      <protection locked="0"/>
    </xf>
    <xf numFmtId="0" fontId="15" fillId="0" borderId="3" xfId="0" applyFont="1" applyFill="1" applyBorder="1" applyAlignment="1" applyProtection="1">
      <alignment horizontal="center" vertical="center"/>
      <protection locked="0"/>
    </xf>
    <xf numFmtId="49" fontId="15" fillId="0" borderId="3" xfId="0" applyNumberFormat="1" applyFont="1" applyFill="1" applyBorder="1" applyAlignment="1" applyProtection="1">
      <alignment horizontal="center" vertical="center"/>
      <protection locked="0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0" borderId="3" xfId="0" applyNumberFormat="1" applyFont="1" applyFill="1" applyBorder="1" applyAlignment="1" applyProtection="1">
      <alignment horizontal="left" vertical="center"/>
      <protection locked="0"/>
    </xf>
    <xf numFmtId="49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9" xfId="0" applyFont="1" applyFill="1" applyBorder="1" applyAlignment="1">
      <alignment wrapText="1"/>
    </xf>
    <xf numFmtId="0" fontId="15" fillId="0" borderId="9" xfId="0" applyFont="1" applyFill="1" applyBorder="1" applyAlignment="1"/>
    <xf numFmtId="0" fontId="16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 applyProtection="1">
      <alignment horizontal="center" vertical="center"/>
      <protection locked="0"/>
    </xf>
    <xf numFmtId="0" fontId="16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Fill="1" applyBorder="1" applyAlignment="1" quotePrefix="1">
      <alignment horizontal="center" vertical="center" wrapText="1"/>
    </xf>
    <xf numFmtId="0" fontId="16" fillId="0" borderId="5" xfId="0" applyFont="1" applyFill="1" applyBorder="1" applyAlignment="1" applyProtection="1" quotePrefix="1">
      <alignment horizontal="center" vertical="center"/>
      <protection locked="0"/>
    </xf>
    <xf numFmtId="0" fontId="16" fillId="0" borderId="3" xfId="0" applyFont="1" applyFill="1" applyBorder="1" applyAlignment="1" quotePrefix="1">
      <alignment horizontal="center" vertical="center" wrapText="1"/>
    </xf>
    <xf numFmtId="0" fontId="1" fillId="0" borderId="5" xfId="0" applyFont="1" applyFill="1" applyBorder="1" applyAlignment="1" quotePrefix="1">
      <alignment horizontal="center" vertical="center" wrapText="1"/>
    </xf>
    <xf numFmtId="0" fontId="1" fillId="0" borderId="3" xfId="0" applyFont="1" applyFill="1" applyBorder="1" applyAlignment="1" quotePrefix="1">
      <alignment horizontal="center" vertical="center" wrapText="1"/>
    </xf>
    <xf numFmtId="49" fontId="15" fillId="2" borderId="3" xfId="0" applyNumberFormat="1" applyFont="1" applyFill="1" applyBorder="1" applyAlignment="1" applyProtection="1" quotePrefix="1">
      <alignment horizontal="left" vertical="center"/>
      <protection locked="0"/>
    </xf>
    <xf numFmtId="49" fontId="14" fillId="2" borderId="3" xfId="0" applyNumberFormat="1" applyFont="1" applyFill="1" applyBorder="1" applyAlignment="1" quotePrefix="1">
      <alignment horizontal="center" vertical="center" wrapText="1"/>
    </xf>
    <xf numFmtId="0" fontId="1" fillId="0" borderId="3" xfId="0" applyFont="1" applyFill="1" applyBorder="1" applyAlignment="1" applyProtection="1" quotePrefix="1">
      <alignment horizontal="center" vertical="center"/>
      <protection locked="0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1_3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haredStrings" Target="sharedStrings.xml"/><Relationship Id="rId27" Type="http://schemas.openxmlformats.org/officeDocument/2006/relationships/styles" Target="styles.xml"/><Relationship Id="rId26" Type="http://schemas.openxmlformats.org/officeDocument/2006/relationships/theme" Target="theme/theme1.xml"/><Relationship Id="rId25" Type="http://schemas.openxmlformats.org/officeDocument/2006/relationships/externalLink" Target="externalLinks/externalLink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gram%20Files\feiq\Recv%20Files\&#38468;&#20214;2&#65306;&#20449;&#36151;&#36164;&#20135;&#36136;&#37327;&#30495;&#23454;&#24615;&#26816;&#26597;&#24037;&#20316;&#24213;&#31295;%20-%20&#21513;&#27700;&#2143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下拉框选项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主题​​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>
          <a:solidFill>
            <a:schemeClr val="phClr">
              <a:shade val="95000"/>
              <a:satMod val="105000"/>
            </a:schemeClr>
          </a:solidFill>
          <a:prstDash val="solid"/>
          <a:round/>
        </a:ln>
        <a:ln w="25400" cap="flat" cmpd="sng">
          <a:solidFill>
            <a:schemeClr val="phClr"/>
          </a:solidFill>
          <a:prstDash val="solid"/>
          <a:round/>
        </a:ln>
        <a:ln w="38100" cap="flat" cmpd="sng">
          <a:solidFill>
            <a:schemeClr val="phClr"/>
          </a:solidFill>
          <a:prstDash val="solid"/>
          <a:round/>
        </a:ln>
      </a:lnStyleLst>
      <a:effectStyleLst>
        <a:effectStyle>
          <a:effectLst>
            <a:outerShdw blurRad="40000" dist="20000" dir="5400000" rotWithShape="0">
              <a:srgbClr val="000000">
                <a:alpha val="37647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4509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4509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100000" t="100000"/>
          </a:path>
          <a:tileRect r="-100000" b="-10000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9"/>
  <sheetViews>
    <sheetView tabSelected="1" view="pageBreakPreview" zoomScaleNormal="100" workbookViewId="0">
      <selection activeCell="C8" sqref="C8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10</v>
      </c>
    </row>
    <row r="5" s="1" customFormat="1" ht="21" customHeight="1" spans="1:8">
      <c r="A5" s="11">
        <v>1</v>
      </c>
      <c r="B5" s="109">
        <v>1633</v>
      </c>
      <c r="C5" s="109" t="s">
        <v>11</v>
      </c>
      <c r="D5" s="109" t="s">
        <v>12</v>
      </c>
      <c r="E5" s="109" t="s">
        <v>12</v>
      </c>
      <c r="F5" s="108" t="s">
        <v>13</v>
      </c>
      <c r="G5" s="14">
        <v>1</v>
      </c>
      <c r="H5" s="7"/>
    </row>
    <row r="6" s="1" customFormat="1" ht="22.5" customHeight="1" spans="1:8">
      <c r="A6" s="11">
        <v>2</v>
      </c>
      <c r="B6" s="109">
        <v>1741</v>
      </c>
      <c r="C6" s="109" t="s">
        <v>14</v>
      </c>
      <c r="D6" s="109" t="s">
        <v>15</v>
      </c>
      <c r="E6" s="109" t="s">
        <v>15</v>
      </c>
      <c r="F6" s="108" t="s">
        <v>13</v>
      </c>
      <c r="G6" s="14">
        <v>1</v>
      </c>
      <c r="H6" s="7"/>
    </row>
    <row r="7" s="1" customFormat="1" ht="22.5" customHeight="1" spans="1:8">
      <c r="A7" s="11">
        <v>3</v>
      </c>
      <c r="B7" s="75">
        <v>1760</v>
      </c>
      <c r="C7" s="109" t="s">
        <v>16</v>
      </c>
      <c r="D7" s="75" t="s">
        <v>17</v>
      </c>
      <c r="E7" s="75" t="s">
        <v>17</v>
      </c>
      <c r="F7" s="108" t="s">
        <v>13</v>
      </c>
      <c r="G7" s="14">
        <v>1</v>
      </c>
      <c r="H7" s="7"/>
    </row>
    <row r="8" s="1" customFormat="1" ht="22.5" customHeight="1" spans="1:8">
      <c r="A8" s="11">
        <v>4</v>
      </c>
      <c r="B8" s="109">
        <v>4260</v>
      </c>
      <c r="C8" s="138" t="s">
        <v>18</v>
      </c>
      <c r="D8" s="109" t="s">
        <v>19</v>
      </c>
      <c r="E8" s="109" t="s">
        <v>20</v>
      </c>
      <c r="F8" s="108" t="s">
        <v>21</v>
      </c>
      <c r="G8" s="14">
        <v>1</v>
      </c>
      <c r="H8" s="7"/>
    </row>
    <row r="9" s="1" customFormat="1" ht="18.75" spans="1:8">
      <c r="A9" s="11">
        <v>5</v>
      </c>
      <c r="B9" s="75">
        <v>4590</v>
      </c>
      <c r="C9" s="109" t="s">
        <v>22</v>
      </c>
      <c r="D9" s="75" t="s">
        <v>23</v>
      </c>
      <c r="E9" s="75" t="s">
        <v>23</v>
      </c>
      <c r="F9" s="108" t="s">
        <v>21</v>
      </c>
      <c r="G9" s="14">
        <v>1</v>
      </c>
      <c r="H9" s="7"/>
    </row>
    <row r="10" s="1" customFormat="1" ht="22.5" customHeight="1" spans="1:8">
      <c r="A10" s="11">
        <v>6</v>
      </c>
      <c r="B10" s="73">
        <v>5058</v>
      </c>
      <c r="C10" s="139" t="s">
        <v>24</v>
      </c>
      <c r="D10" s="74" t="s">
        <v>25</v>
      </c>
      <c r="E10" s="74" t="s">
        <v>26</v>
      </c>
      <c r="F10" s="108" t="s">
        <v>27</v>
      </c>
      <c r="G10" s="14">
        <v>1</v>
      </c>
      <c r="H10" s="7"/>
    </row>
    <row r="11" s="1" customFormat="1" ht="22.5" customHeight="1" spans="1:8">
      <c r="A11" s="11">
        <v>7</v>
      </c>
      <c r="B11" s="75">
        <v>9066</v>
      </c>
      <c r="C11" s="135" t="s">
        <v>28</v>
      </c>
      <c r="D11" s="135" t="s">
        <v>29</v>
      </c>
      <c r="E11" s="135" t="s">
        <v>30</v>
      </c>
      <c r="F11" s="108" t="s">
        <v>31</v>
      </c>
      <c r="G11" s="14">
        <v>1</v>
      </c>
      <c r="H11" s="11"/>
    </row>
    <row r="12" s="1" customFormat="1" ht="22.5" customHeight="1" spans="1:8">
      <c r="A12" s="11">
        <v>8</v>
      </c>
      <c r="B12" s="75">
        <v>10722</v>
      </c>
      <c r="C12" s="75" t="s">
        <v>32</v>
      </c>
      <c r="D12" s="75" t="s">
        <v>33</v>
      </c>
      <c r="E12" s="75" t="s">
        <v>33</v>
      </c>
      <c r="F12" s="108" t="s">
        <v>31</v>
      </c>
      <c r="G12" s="14">
        <v>1</v>
      </c>
      <c r="H12" s="7"/>
    </row>
    <row r="13" s="1" customFormat="1" ht="22.5" customHeight="1" spans="1:8">
      <c r="A13" s="11">
        <v>9</v>
      </c>
      <c r="B13" s="75">
        <v>11158</v>
      </c>
      <c r="C13" s="75" t="s">
        <v>34</v>
      </c>
      <c r="D13" s="75" t="s">
        <v>35</v>
      </c>
      <c r="E13" s="75" t="s">
        <v>35</v>
      </c>
      <c r="F13" s="108" t="s">
        <v>31</v>
      </c>
      <c r="G13" s="14">
        <v>1</v>
      </c>
      <c r="H13" s="7"/>
    </row>
    <row r="14" s="1" customFormat="1" ht="22.5" customHeight="1" spans="1:8">
      <c r="A14" s="11">
        <v>10</v>
      </c>
      <c r="B14" s="73">
        <v>13426</v>
      </c>
      <c r="C14" s="73" t="s">
        <v>36</v>
      </c>
      <c r="D14" s="136" t="s">
        <v>37</v>
      </c>
      <c r="E14" s="74" t="s">
        <v>37</v>
      </c>
      <c r="F14" s="108" t="s">
        <v>31</v>
      </c>
      <c r="G14" s="14">
        <v>1</v>
      </c>
      <c r="H14" s="7"/>
    </row>
    <row r="15" s="1" customFormat="1" ht="22.5" customHeight="1" spans="1:8">
      <c r="A15" s="11">
        <v>11</v>
      </c>
      <c r="B15" s="109">
        <v>13428</v>
      </c>
      <c r="C15" s="109" t="s">
        <v>38</v>
      </c>
      <c r="D15" s="109" t="s">
        <v>39</v>
      </c>
      <c r="E15" s="109" t="s">
        <v>40</v>
      </c>
      <c r="F15" s="108" t="s">
        <v>31</v>
      </c>
      <c r="G15" s="14">
        <v>1</v>
      </c>
      <c r="H15" s="7"/>
    </row>
    <row r="16" s="1" customFormat="1" ht="22.5" customHeight="1" spans="1:8">
      <c r="A16" s="11">
        <v>12</v>
      </c>
      <c r="B16" s="109">
        <v>13892</v>
      </c>
      <c r="C16" s="109" t="s">
        <v>41</v>
      </c>
      <c r="D16" s="137" t="s">
        <v>42</v>
      </c>
      <c r="E16" s="109" t="s">
        <v>43</v>
      </c>
      <c r="F16" s="108" t="s">
        <v>31</v>
      </c>
      <c r="G16" s="14">
        <v>1</v>
      </c>
      <c r="H16" s="7"/>
    </row>
    <row r="17" s="1" customFormat="1" ht="22.5" customHeight="1" spans="1:8">
      <c r="A17" s="11">
        <v>13</v>
      </c>
      <c r="B17" s="109">
        <v>13921</v>
      </c>
      <c r="C17" s="109" t="s">
        <v>44</v>
      </c>
      <c r="D17" s="109" t="s">
        <v>45</v>
      </c>
      <c r="E17" s="109" t="s">
        <v>46</v>
      </c>
      <c r="F17" s="108" t="s">
        <v>31</v>
      </c>
      <c r="G17" s="14">
        <v>1</v>
      </c>
      <c r="H17" s="7"/>
    </row>
    <row r="18" s="1" customFormat="1" ht="22.5" customHeight="1" spans="1:7">
      <c r="A18" s="19" t="s">
        <v>47</v>
      </c>
      <c r="B18" s="20"/>
      <c r="C18" s="20"/>
      <c r="D18" s="20"/>
      <c r="E18" s="20"/>
      <c r="F18" s="20"/>
      <c r="G18" s="20"/>
    </row>
    <row r="19" s="1" customFormat="1" ht="22.5" customHeight="1" spans="1:8">
      <c r="A19" s="21" t="s">
        <v>48</v>
      </c>
      <c r="B19" s="22"/>
      <c r="C19" s="22"/>
      <c r="D19" s="22"/>
      <c r="E19" s="23"/>
      <c r="F19" s="24"/>
      <c r="G19" s="24"/>
      <c r="H19" s="7"/>
    </row>
    <row r="20" s="1" customFormat="1" ht="22.5" customHeight="1" spans="1:8">
      <c r="A20" s="7" t="s">
        <v>49</v>
      </c>
      <c r="B20" s="7" t="s">
        <v>50</v>
      </c>
      <c r="C20" s="7"/>
      <c r="D20" s="7"/>
      <c r="E20" s="7"/>
      <c r="F20" s="24"/>
      <c r="G20" s="24"/>
      <c r="H20" s="7"/>
    </row>
    <row r="21" s="1" customFormat="1" ht="22.5" customHeight="1" spans="1:8">
      <c r="A21" s="7"/>
      <c r="B21" s="7" t="s">
        <v>51</v>
      </c>
      <c r="C21" s="7"/>
      <c r="D21" s="7"/>
      <c r="E21" s="7"/>
      <c r="F21" s="24"/>
      <c r="G21" s="24"/>
      <c r="H21" s="7"/>
    </row>
    <row r="22" s="1" customFormat="1" ht="22.5" customHeight="1" spans="1:8">
      <c r="A22" s="25" t="s">
        <v>52</v>
      </c>
      <c r="B22" s="26" t="s">
        <v>53</v>
      </c>
      <c r="C22" s="27"/>
      <c r="D22" s="27"/>
      <c r="E22" s="28"/>
      <c r="F22" s="24"/>
      <c r="G22" s="24"/>
      <c r="H22" s="7"/>
    </row>
    <row r="23" s="1" customFormat="1" ht="22.5" customHeight="1" spans="1:8">
      <c r="A23" s="29"/>
      <c r="B23" s="30" t="s">
        <v>54</v>
      </c>
      <c r="C23" s="31"/>
      <c r="D23" s="31"/>
      <c r="E23" s="32"/>
      <c r="F23" s="24"/>
      <c r="G23" s="24"/>
      <c r="H23" s="7"/>
    </row>
    <row r="24" s="1" customFormat="1" ht="22.5" customHeight="1" spans="1:8">
      <c r="A24" s="17" t="s">
        <v>55</v>
      </c>
      <c r="B24" s="7" t="s">
        <v>56</v>
      </c>
      <c r="C24" s="7"/>
      <c r="D24" s="7"/>
      <c r="E24" s="7"/>
      <c r="F24" s="24"/>
      <c r="G24" s="24"/>
      <c r="H24" s="7"/>
    </row>
    <row r="25" s="1" customFormat="1" ht="22.5" customHeight="1" spans="1:8">
      <c r="A25" s="17"/>
      <c r="B25" s="7" t="s">
        <v>56</v>
      </c>
      <c r="C25" s="7"/>
      <c r="D25" s="7"/>
      <c r="E25" s="7"/>
      <c r="F25" s="24"/>
      <c r="G25" s="24"/>
      <c r="H25" s="7"/>
    </row>
    <row r="26" s="1" customFormat="1" ht="22.5" customHeight="1" spans="1:8">
      <c r="A26" s="17" t="s">
        <v>57</v>
      </c>
      <c r="B26" s="7" t="s">
        <v>58</v>
      </c>
      <c r="C26" s="7"/>
      <c r="D26" s="7"/>
      <c r="E26" s="7"/>
      <c r="F26" s="24"/>
      <c r="G26" s="24"/>
      <c r="H26" s="7"/>
    </row>
    <row r="27" s="1" customFormat="1" ht="22.5" customHeight="1" spans="1:8">
      <c r="A27" s="17"/>
      <c r="B27" s="7" t="s">
        <v>59</v>
      </c>
      <c r="C27" s="7"/>
      <c r="D27" s="7"/>
      <c r="E27" s="7"/>
      <c r="F27" s="24"/>
      <c r="G27" s="24"/>
      <c r="H27" s="7"/>
    </row>
    <row r="28" s="1" customFormat="1" ht="22.5" customHeight="1"/>
    <row r="29" s="1" customFormat="1" ht="22.5" customHeight="1" spans="1:5">
      <c r="A29" s="33" t="s">
        <v>60</v>
      </c>
      <c r="B29" s="7" t="s">
        <v>61</v>
      </c>
      <c r="C29" s="34">
        <v>1</v>
      </c>
      <c r="D29" s="7">
        <f ca="1">COUNTIF(F:F,B29)</f>
        <v>0</v>
      </c>
      <c r="E29" s="7">
        <f t="shared" ref="E29:E37" si="0">C29-D29</f>
        <v>1</v>
      </c>
    </row>
    <row r="30" s="1" customFormat="1" ht="22.5" customHeight="1" spans="1:5">
      <c r="A30" s="33" t="s">
        <v>60</v>
      </c>
      <c r="B30" s="7" t="s">
        <v>27</v>
      </c>
      <c r="C30" s="34">
        <v>965</v>
      </c>
      <c r="D30" s="7">
        <f ca="1">COUNTIF(F:F,B30)</f>
        <v>1</v>
      </c>
      <c r="E30" s="7">
        <f t="shared" si="0"/>
        <v>964</v>
      </c>
    </row>
    <row r="31" s="1" customFormat="1" ht="22.5" customHeight="1" spans="1:5">
      <c r="A31" s="33" t="s">
        <v>60</v>
      </c>
      <c r="B31" s="7" t="s">
        <v>21</v>
      </c>
      <c r="C31" s="35">
        <v>402</v>
      </c>
      <c r="D31" s="7">
        <f ca="1">COUNTIF(F:F,B31)</f>
        <v>2</v>
      </c>
      <c r="E31" s="7">
        <f t="shared" si="0"/>
        <v>400</v>
      </c>
    </row>
    <row r="32" s="1" customFormat="1" ht="22.5" customHeight="1" spans="1:5">
      <c r="A32" s="33" t="s">
        <v>60</v>
      </c>
      <c r="B32" s="17" t="s">
        <v>62</v>
      </c>
      <c r="C32" s="35">
        <v>82</v>
      </c>
      <c r="D32" s="7">
        <f ca="1">COUNTIF(F:F,"再就业")+COUNTIF(F:F,"小贷")</f>
        <v>0</v>
      </c>
      <c r="E32" s="7">
        <f t="shared" si="0"/>
        <v>82</v>
      </c>
    </row>
    <row r="33" s="1" customFormat="1" ht="22.5" customHeight="1" spans="1:5">
      <c r="A33" s="33" t="s">
        <v>60</v>
      </c>
      <c r="B33" s="17" t="s">
        <v>63</v>
      </c>
      <c r="C33" s="35">
        <v>1</v>
      </c>
      <c r="D33" s="7">
        <f ca="1">COUNTIF(F:F,B33)</f>
        <v>0</v>
      </c>
      <c r="E33" s="7">
        <f t="shared" si="0"/>
        <v>1</v>
      </c>
    </row>
    <row r="34" s="1" customFormat="1" ht="22.5" customHeight="1" spans="1:5">
      <c r="A34" s="33" t="s">
        <v>60</v>
      </c>
      <c r="B34" s="7" t="s">
        <v>64</v>
      </c>
      <c r="C34" s="35">
        <v>615</v>
      </c>
      <c r="D34" s="7">
        <f ca="1">COUNTIF(F:F,B34)</f>
        <v>0</v>
      </c>
      <c r="E34" s="7">
        <f t="shared" si="0"/>
        <v>615</v>
      </c>
    </row>
    <row r="35" s="1" customFormat="1" ht="22.5" customHeight="1" spans="1:5">
      <c r="A35" s="33" t="s">
        <v>60</v>
      </c>
      <c r="B35" s="7" t="s">
        <v>13</v>
      </c>
      <c r="C35" s="35">
        <v>1038</v>
      </c>
      <c r="D35" s="7">
        <f ca="1">COUNTIF(F:F,B35)</f>
        <v>3</v>
      </c>
      <c r="E35" s="7">
        <f t="shared" si="0"/>
        <v>1035</v>
      </c>
    </row>
    <row r="36" s="1" customFormat="1" ht="22.5" customHeight="1" spans="1:5">
      <c r="A36" s="33" t="s">
        <v>60</v>
      </c>
      <c r="B36" s="7" t="s">
        <v>31</v>
      </c>
      <c r="C36" s="35">
        <v>4474</v>
      </c>
      <c r="D36" s="7">
        <f ca="1">COUNTIF(F:F,B36)</f>
        <v>7</v>
      </c>
      <c r="E36" s="7">
        <f t="shared" si="0"/>
        <v>4467</v>
      </c>
    </row>
    <row r="37" s="1" customFormat="1" ht="22.5" customHeight="1" spans="1:5">
      <c r="A37" s="33" t="s">
        <v>60</v>
      </c>
      <c r="B37" s="7" t="s">
        <v>65</v>
      </c>
      <c r="C37" s="36">
        <v>42</v>
      </c>
      <c r="D37" s="7">
        <f ca="1">COUNTIF(F:F,B37)</f>
        <v>0</v>
      </c>
      <c r="E37" s="7">
        <f t="shared" si="0"/>
        <v>42</v>
      </c>
    </row>
    <row r="38" s="1" customFormat="1" ht="22.5" customHeight="1" spans="1:5">
      <c r="A38" s="37"/>
      <c r="B38" s="7"/>
      <c r="C38" s="7">
        <f>SUM(C29:C37)</f>
        <v>7620</v>
      </c>
      <c r="D38" s="7">
        <f>SUM(D29:D37)</f>
        <v>13</v>
      </c>
      <c r="E38" s="7">
        <f>SUM(E29:E37)</f>
        <v>7607</v>
      </c>
    </row>
    <row r="39" s="1" customFormat="1" ht="22.5" customHeight="1"/>
  </sheetData>
  <sortState ref="B5:G17">
    <sortCondition ref="B5:B17"/>
  </sortState>
  <mergeCells count="15">
    <mergeCell ref="A1:G1"/>
    <mergeCell ref="A2:G2"/>
    <mergeCell ref="A3:G3"/>
    <mergeCell ref="B20:E20"/>
    <mergeCell ref="B21:E21"/>
    <mergeCell ref="B22:E22"/>
    <mergeCell ref="B23:E23"/>
    <mergeCell ref="B24:E24"/>
    <mergeCell ref="B25:E25"/>
    <mergeCell ref="B26:E26"/>
    <mergeCell ref="B27:E27"/>
    <mergeCell ref="A20:A21"/>
    <mergeCell ref="A22:A23"/>
    <mergeCell ref="A24:A25"/>
    <mergeCell ref="A26:A27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5"/>
  <sheetViews>
    <sheetView view="pageBreakPreview" zoomScaleNormal="100" workbookViewId="0">
      <selection activeCell="C7" sqref="C7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10</v>
      </c>
    </row>
    <row r="5" s="1" customFormat="1" ht="21" customHeight="1" spans="1:8">
      <c r="A5" s="11">
        <v>1</v>
      </c>
      <c r="B5" s="127">
        <v>1660</v>
      </c>
      <c r="C5" s="127" t="s">
        <v>66</v>
      </c>
      <c r="D5" s="127" t="s">
        <v>67</v>
      </c>
      <c r="E5" s="127" t="s">
        <v>67</v>
      </c>
      <c r="F5" s="128" t="s">
        <v>13</v>
      </c>
      <c r="G5" s="129">
        <v>1</v>
      </c>
      <c r="H5" s="7"/>
    </row>
    <row r="6" s="1" customFormat="1" ht="22.5" customHeight="1" spans="1:8">
      <c r="A6" s="11">
        <v>2</v>
      </c>
      <c r="B6" s="109">
        <v>4169</v>
      </c>
      <c r="C6" s="138" t="s">
        <v>68</v>
      </c>
      <c r="D6" s="109" t="s">
        <v>69</v>
      </c>
      <c r="E6" s="109" t="s">
        <v>69</v>
      </c>
      <c r="F6" s="108" t="s">
        <v>64</v>
      </c>
      <c r="G6" s="14">
        <v>1</v>
      </c>
      <c r="H6" s="7"/>
    </row>
    <row r="7" s="1" customFormat="1" ht="22.5" customHeight="1" spans="1:8">
      <c r="A7" s="11">
        <v>3</v>
      </c>
      <c r="B7" s="75">
        <v>4550</v>
      </c>
      <c r="C7" s="109" t="s">
        <v>70</v>
      </c>
      <c r="D7" s="75" t="s">
        <v>71</v>
      </c>
      <c r="E7" s="75" t="s">
        <v>72</v>
      </c>
      <c r="F7" s="108" t="s">
        <v>64</v>
      </c>
      <c r="G7" s="14">
        <v>1</v>
      </c>
      <c r="H7" s="7"/>
    </row>
    <row r="8" s="1" customFormat="1" ht="22.5" customHeight="1" spans="1:8">
      <c r="A8" s="11">
        <v>4</v>
      </c>
      <c r="B8" s="110">
        <v>4707</v>
      </c>
      <c r="C8" s="139" t="s">
        <v>73</v>
      </c>
      <c r="D8" s="111" t="s">
        <v>74</v>
      </c>
      <c r="E8" s="111" t="s">
        <v>75</v>
      </c>
      <c r="F8" s="108" t="s">
        <v>27</v>
      </c>
      <c r="G8" s="14">
        <v>1</v>
      </c>
      <c r="H8" s="7"/>
    </row>
    <row r="9" s="1" customFormat="1" ht="18.75" spans="1:8">
      <c r="A9" s="11">
        <v>5</v>
      </c>
      <c r="B9" s="75">
        <v>4737</v>
      </c>
      <c r="C9" s="138" t="s">
        <v>76</v>
      </c>
      <c r="D9" s="75" t="s">
        <v>77</v>
      </c>
      <c r="E9" s="75" t="s">
        <v>78</v>
      </c>
      <c r="F9" s="108" t="s">
        <v>27</v>
      </c>
      <c r="G9" s="14">
        <v>1</v>
      </c>
      <c r="H9" s="7"/>
    </row>
    <row r="10" s="1" customFormat="1" ht="22.5" customHeight="1" spans="1:8">
      <c r="A10" s="11">
        <v>6</v>
      </c>
      <c r="B10" s="75">
        <v>5191</v>
      </c>
      <c r="C10" s="138" t="s">
        <v>79</v>
      </c>
      <c r="D10" s="75" t="s">
        <v>80</v>
      </c>
      <c r="E10" s="75" t="s">
        <v>81</v>
      </c>
      <c r="F10" s="108" t="s">
        <v>27</v>
      </c>
      <c r="G10" s="14">
        <v>1</v>
      </c>
      <c r="H10" s="7"/>
    </row>
    <row r="11" s="1" customFormat="1" ht="22.5" customHeight="1" spans="1:8">
      <c r="A11" s="11">
        <v>7</v>
      </c>
      <c r="B11" s="75">
        <v>5256</v>
      </c>
      <c r="C11" s="75" t="s">
        <v>82</v>
      </c>
      <c r="D11" s="75" t="s">
        <v>83</v>
      </c>
      <c r="E11" s="75" t="s">
        <v>84</v>
      </c>
      <c r="F11" s="108" t="s">
        <v>27</v>
      </c>
      <c r="G11" s="14">
        <v>1</v>
      </c>
      <c r="H11" s="11"/>
    </row>
    <row r="12" s="1" customFormat="1" ht="22.5" customHeight="1" spans="1:8">
      <c r="A12" s="11">
        <v>8</v>
      </c>
      <c r="B12" s="130">
        <v>9675</v>
      </c>
      <c r="C12" s="130" t="s">
        <v>85</v>
      </c>
      <c r="D12" s="130" t="s">
        <v>86</v>
      </c>
      <c r="E12" s="130" t="s">
        <v>86</v>
      </c>
      <c r="F12" s="128" t="s">
        <v>31</v>
      </c>
      <c r="G12" s="129">
        <v>1</v>
      </c>
      <c r="H12" s="7"/>
    </row>
    <row r="13" s="1" customFormat="1" ht="22.5" customHeight="1" spans="1:8">
      <c r="A13" s="11">
        <v>9</v>
      </c>
      <c r="B13" s="131">
        <v>10017</v>
      </c>
      <c r="C13" s="131" t="s">
        <v>87</v>
      </c>
      <c r="D13" s="132" t="s">
        <v>88</v>
      </c>
      <c r="E13" s="132" t="s">
        <v>89</v>
      </c>
      <c r="F13" s="128" t="s">
        <v>31</v>
      </c>
      <c r="G13" s="129">
        <v>1</v>
      </c>
      <c r="H13" s="7"/>
    </row>
    <row r="14" s="1" customFormat="1" ht="22.5" customHeight="1" spans="1:8">
      <c r="A14" s="11">
        <v>10</v>
      </c>
      <c r="B14" s="75">
        <v>10619</v>
      </c>
      <c r="C14" s="75" t="s">
        <v>90</v>
      </c>
      <c r="D14" s="75" t="s">
        <v>91</v>
      </c>
      <c r="E14" s="75" t="s">
        <v>92</v>
      </c>
      <c r="F14" s="108" t="s">
        <v>31</v>
      </c>
      <c r="G14" s="14">
        <v>1</v>
      </c>
      <c r="H14" s="7"/>
    </row>
    <row r="15" s="1" customFormat="1" ht="22.5" customHeight="1" spans="1:8">
      <c r="A15" s="11">
        <v>11</v>
      </c>
      <c r="B15" s="109">
        <v>11059</v>
      </c>
      <c r="C15" s="109" t="s">
        <v>93</v>
      </c>
      <c r="D15" s="109" t="s">
        <v>94</v>
      </c>
      <c r="E15" s="109" t="s">
        <v>95</v>
      </c>
      <c r="F15" s="108" t="s">
        <v>31</v>
      </c>
      <c r="G15" s="14">
        <v>1</v>
      </c>
      <c r="H15" s="7"/>
    </row>
    <row r="16" s="1" customFormat="1" ht="22.5" customHeight="1" spans="1:8">
      <c r="A16" s="11">
        <v>12</v>
      </c>
      <c r="B16" s="109">
        <v>11417</v>
      </c>
      <c r="C16" s="109" t="s">
        <v>96</v>
      </c>
      <c r="D16" s="109" t="s">
        <v>97</v>
      </c>
      <c r="E16" s="109" t="s">
        <v>97</v>
      </c>
      <c r="F16" s="108" t="s">
        <v>31</v>
      </c>
      <c r="G16" s="14">
        <v>1</v>
      </c>
      <c r="H16" s="7"/>
    </row>
    <row r="17" s="1" customFormat="1" ht="22.5" customHeight="1" spans="1:8">
      <c r="A17" s="11">
        <v>13</v>
      </c>
      <c r="B17" s="109">
        <v>11468</v>
      </c>
      <c r="C17" s="109" t="s">
        <v>98</v>
      </c>
      <c r="D17" s="109" t="s">
        <v>99</v>
      </c>
      <c r="E17" s="109" t="s">
        <v>100</v>
      </c>
      <c r="F17" s="108" t="s">
        <v>31</v>
      </c>
      <c r="G17" s="14">
        <v>1</v>
      </c>
      <c r="H17" s="7"/>
    </row>
    <row r="18" s="1" customFormat="1" ht="22.5" customHeight="1" spans="1:8">
      <c r="A18" s="11">
        <v>14</v>
      </c>
      <c r="B18" s="12">
        <v>11671</v>
      </c>
      <c r="C18" s="12" t="s">
        <v>101</v>
      </c>
      <c r="D18" s="12" t="s">
        <v>102</v>
      </c>
      <c r="E18" s="12" t="s">
        <v>103</v>
      </c>
      <c r="F18" s="108" t="s">
        <v>31</v>
      </c>
      <c r="G18" s="14">
        <v>1</v>
      </c>
      <c r="H18" s="7"/>
    </row>
    <row r="19" s="1" customFormat="1" ht="22.5" customHeight="1" spans="1:8">
      <c r="A19" s="11">
        <v>15</v>
      </c>
      <c r="B19" s="109">
        <v>12015</v>
      </c>
      <c r="C19" s="138" t="s">
        <v>104</v>
      </c>
      <c r="D19" s="109" t="s">
        <v>105</v>
      </c>
      <c r="E19" s="109" t="s">
        <v>105</v>
      </c>
      <c r="F19" s="108" t="s">
        <v>31</v>
      </c>
      <c r="G19" s="14">
        <v>1</v>
      </c>
      <c r="H19" s="7"/>
    </row>
    <row r="20" s="1" customFormat="1" ht="22.5" customHeight="1" spans="1:8">
      <c r="A20" s="113">
        <v>16</v>
      </c>
      <c r="B20" s="109">
        <v>12238</v>
      </c>
      <c r="C20" s="109" t="s">
        <v>106</v>
      </c>
      <c r="D20" s="109" t="s">
        <v>107</v>
      </c>
      <c r="E20" s="109" t="s">
        <v>108</v>
      </c>
      <c r="F20" s="108" t="s">
        <v>31</v>
      </c>
      <c r="G20" s="14">
        <v>1</v>
      </c>
      <c r="H20" s="7"/>
    </row>
    <row r="21" s="1" customFormat="1" ht="22.5" customHeight="1" spans="1:8">
      <c r="A21" s="11">
        <v>17</v>
      </c>
      <c r="B21" s="109">
        <v>13086</v>
      </c>
      <c r="C21" s="109" t="s">
        <v>109</v>
      </c>
      <c r="D21" s="109" t="s">
        <v>110</v>
      </c>
      <c r="E21" s="109" t="s">
        <v>110</v>
      </c>
      <c r="F21" s="108" t="s">
        <v>31</v>
      </c>
      <c r="G21" s="14">
        <v>1</v>
      </c>
      <c r="H21" s="7"/>
    </row>
    <row r="22" s="1" customFormat="1" ht="22.5" customHeight="1" spans="1:8">
      <c r="A22" s="11">
        <v>18</v>
      </c>
      <c r="B22" s="109">
        <v>13301</v>
      </c>
      <c r="C22" s="109" t="s">
        <v>111</v>
      </c>
      <c r="D22" s="109" t="s">
        <v>112</v>
      </c>
      <c r="E22" s="109" t="s">
        <v>112</v>
      </c>
      <c r="F22" s="108" t="s">
        <v>31</v>
      </c>
      <c r="G22" s="14">
        <v>1</v>
      </c>
      <c r="H22" s="7"/>
    </row>
    <row r="23" s="1" customFormat="1" ht="22.5" customHeight="1" spans="1:8">
      <c r="A23" s="11">
        <v>19</v>
      </c>
      <c r="B23" s="12">
        <v>13773</v>
      </c>
      <c r="C23" s="12" t="s">
        <v>113</v>
      </c>
      <c r="D23" s="12" t="s">
        <v>114</v>
      </c>
      <c r="E23" s="12" t="s">
        <v>114</v>
      </c>
      <c r="F23" s="108" t="s">
        <v>31</v>
      </c>
      <c r="G23" s="14">
        <v>1</v>
      </c>
      <c r="H23" s="7"/>
    </row>
    <row r="24" s="1" customFormat="1" ht="22.5" customHeight="1" spans="1:8">
      <c r="A24" s="11">
        <v>20</v>
      </c>
      <c r="B24" s="109">
        <v>14217</v>
      </c>
      <c r="C24" s="109" t="s">
        <v>115</v>
      </c>
      <c r="D24" s="109" t="s">
        <v>116</v>
      </c>
      <c r="E24" s="109" t="s">
        <v>117</v>
      </c>
      <c r="F24" s="108" t="s">
        <v>31</v>
      </c>
      <c r="G24" s="14">
        <v>1</v>
      </c>
      <c r="H24" s="7"/>
    </row>
    <row r="25" s="1" customFormat="1" ht="22.5" customHeight="1" spans="1:8">
      <c r="A25" s="113">
        <v>21</v>
      </c>
      <c r="B25" s="109">
        <v>14251</v>
      </c>
      <c r="C25" s="109" t="s">
        <v>118</v>
      </c>
      <c r="D25" s="109" t="s">
        <v>119</v>
      </c>
      <c r="E25" s="109" t="s">
        <v>119</v>
      </c>
      <c r="F25" s="108" t="s">
        <v>31</v>
      </c>
      <c r="G25" s="14">
        <v>1</v>
      </c>
      <c r="H25" s="7"/>
    </row>
    <row r="26" s="1" customFormat="1" ht="22.5" customHeight="1" spans="1:8">
      <c r="A26" s="11">
        <v>22</v>
      </c>
      <c r="B26" s="109">
        <v>14265</v>
      </c>
      <c r="C26" s="109" t="s">
        <v>120</v>
      </c>
      <c r="D26" s="109" t="s">
        <v>121</v>
      </c>
      <c r="E26" s="109" t="s">
        <v>121</v>
      </c>
      <c r="F26" s="108" t="s">
        <v>31</v>
      </c>
      <c r="G26" s="14">
        <v>1</v>
      </c>
      <c r="H26" s="7"/>
    </row>
    <row r="27" s="1" customFormat="1" ht="22.5" customHeight="1" spans="1:8">
      <c r="A27" s="11">
        <v>23</v>
      </c>
      <c r="B27" s="127">
        <v>14307</v>
      </c>
      <c r="C27" s="127" t="s">
        <v>122</v>
      </c>
      <c r="D27" s="127" t="s">
        <v>123</v>
      </c>
      <c r="E27" s="127" t="s">
        <v>123</v>
      </c>
      <c r="F27" s="128" t="s">
        <v>31</v>
      </c>
      <c r="G27" s="129">
        <v>1</v>
      </c>
      <c r="H27" s="7"/>
    </row>
    <row r="28" s="1" customFormat="1" ht="22.5" customHeight="1" spans="1:8">
      <c r="A28" s="11">
        <v>24</v>
      </c>
      <c r="B28" s="130">
        <v>14487</v>
      </c>
      <c r="C28" s="130" t="s">
        <v>124</v>
      </c>
      <c r="D28" s="130" t="s">
        <v>125</v>
      </c>
      <c r="E28" s="130" t="s">
        <v>126</v>
      </c>
      <c r="F28" s="133" t="s">
        <v>31</v>
      </c>
      <c r="G28" s="134">
        <v>1</v>
      </c>
      <c r="H28" s="7"/>
    </row>
    <row r="29" s="1" customFormat="1" ht="22.5" customHeight="1" spans="1:8">
      <c r="A29" s="11">
        <v>25</v>
      </c>
      <c r="B29" s="75">
        <v>14548</v>
      </c>
      <c r="C29" s="75" t="s">
        <v>127</v>
      </c>
      <c r="D29" s="75" t="s">
        <v>128</v>
      </c>
      <c r="E29" s="75" t="s">
        <v>129</v>
      </c>
      <c r="F29" s="7" t="s">
        <v>31</v>
      </c>
      <c r="G29" s="9">
        <v>1</v>
      </c>
      <c r="H29" s="23"/>
    </row>
    <row r="30" s="1" customFormat="1" ht="22.5" customHeight="1" spans="1:8">
      <c r="A30" s="11">
        <v>26</v>
      </c>
      <c r="B30" s="75">
        <v>14632</v>
      </c>
      <c r="C30" s="140" t="s">
        <v>130</v>
      </c>
      <c r="D30" s="75" t="s">
        <v>131</v>
      </c>
      <c r="E30" s="75" t="s">
        <v>132</v>
      </c>
      <c r="F30" s="7" t="s">
        <v>31</v>
      </c>
      <c r="G30" s="9">
        <v>1</v>
      </c>
      <c r="H30" s="23"/>
    </row>
    <row r="31" s="1" customFormat="1" ht="22.5" customHeight="1" spans="1:8">
      <c r="A31" s="11">
        <v>27</v>
      </c>
      <c r="B31" s="75">
        <v>14805</v>
      </c>
      <c r="C31" s="75" t="s">
        <v>133</v>
      </c>
      <c r="D31" s="75" t="s">
        <v>134</v>
      </c>
      <c r="E31" s="75" t="s">
        <v>135</v>
      </c>
      <c r="F31" s="7" t="s">
        <v>31</v>
      </c>
      <c r="G31" s="9">
        <v>1</v>
      </c>
      <c r="H31" s="23"/>
    </row>
    <row r="32" s="1" customFormat="1" ht="22.5" customHeight="1" spans="1:8">
      <c r="A32" s="11">
        <v>28</v>
      </c>
      <c r="B32" s="75">
        <v>14952</v>
      </c>
      <c r="C32" s="75" t="s">
        <v>136</v>
      </c>
      <c r="D32" s="75" t="s">
        <v>137</v>
      </c>
      <c r="E32" s="75" t="s">
        <v>138</v>
      </c>
      <c r="F32" s="7" t="s">
        <v>31</v>
      </c>
      <c r="G32" s="9">
        <v>1</v>
      </c>
      <c r="H32" s="23"/>
    </row>
    <row r="33" s="1" customFormat="1" ht="22.5" customHeight="1" spans="1:8">
      <c r="A33" s="11"/>
      <c r="B33" s="75"/>
      <c r="C33" s="75"/>
      <c r="D33" s="75"/>
      <c r="E33" s="75"/>
      <c r="F33" s="7"/>
      <c r="G33" s="9"/>
      <c r="H33" s="23"/>
    </row>
    <row r="34" s="1" customFormat="1" ht="22.5" customHeight="1" spans="1:7">
      <c r="A34" s="19" t="s">
        <v>47</v>
      </c>
      <c r="B34" s="20"/>
      <c r="C34" s="20"/>
      <c r="D34" s="20"/>
      <c r="E34" s="20"/>
      <c r="F34" s="20"/>
      <c r="G34" s="20"/>
    </row>
    <row r="35" s="1" customFormat="1" ht="22.5" customHeight="1" spans="1:8">
      <c r="A35" s="21" t="s">
        <v>48</v>
      </c>
      <c r="B35" s="22"/>
      <c r="C35" s="22"/>
      <c r="D35" s="22"/>
      <c r="E35" s="23"/>
      <c r="F35" s="24"/>
      <c r="G35" s="24"/>
      <c r="H35" s="7"/>
    </row>
    <row r="36" s="1" customFormat="1" ht="22.5" customHeight="1" spans="1:8">
      <c r="A36" s="7" t="s">
        <v>49</v>
      </c>
      <c r="B36" s="7" t="s">
        <v>50</v>
      </c>
      <c r="C36" s="7"/>
      <c r="D36" s="7"/>
      <c r="E36" s="7"/>
      <c r="F36" s="24"/>
      <c r="G36" s="24"/>
      <c r="H36" s="7"/>
    </row>
    <row r="37" s="1" customFormat="1" ht="22.5" customHeight="1" spans="1:8">
      <c r="A37" s="7"/>
      <c r="B37" s="7" t="s">
        <v>51</v>
      </c>
      <c r="C37" s="7"/>
      <c r="D37" s="7"/>
      <c r="E37" s="7"/>
      <c r="F37" s="24"/>
      <c r="G37" s="24"/>
      <c r="H37" s="7"/>
    </row>
    <row r="38" s="1" customFormat="1" ht="22.5" customHeight="1" spans="1:8">
      <c r="A38" s="25" t="s">
        <v>52</v>
      </c>
      <c r="B38" s="26" t="s">
        <v>53</v>
      </c>
      <c r="C38" s="27"/>
      <c r="D38" s="27"/>
      <c r="E38" s="28"/>
      <c r="F38" s="24"/>
      <c r="G38" s="24"/>
      <c r="H38" s="7"/>
    </row>
    <row r="39" s="1" customFormat="1" ht="22.5" customHeight="1" spans="1:8">
      <c r="A39" s="29"/>
      <c r="B39" s="30" t="s">
        <v>54</v>
      </c>
      <c r="C39" s="31"/>
      <c r="D39" s="31"/>
      <c r="E39" s="32"/>
      <c r="F39" s="24"/>
      <c r="G39" s="24"/>
      <c r="H39" s="7"/>
    </row>
    <row r="40" s="1" customFormat="1" ht="22.5" customHeight="1" spans="1:8">
      <c r="A40" s="17" t="s">
        <v>55</v>
      </c>
      <c r="B40" s="7" t="s">
        <v>56</v>
      </c>
      <c r="C40" s="7"/>
      <c r="D40" s="7"/>
      <c r="E40" s="7"/>
      <c r="F40" s="24"/>
      <c r="G40" s="24"/>
      <c r="H40" s="7"/>
    </row>
    <row r="41" s="1" customFormat="1" ht="22.5" customHeight="1" spans="1:8">
      <c r="A41" s="17"/>
      <c r="B41" s="7" t="s">
        <v>56</v>
      </c>
      <c r="C41" s="7"/>
      <c r="D41" s="7"/>
      <c r="E41" s="7"/>
      <c r="F41" s="24"/>
      <c r="G41" s="24"/>
      <c r="H41" s="7"/>
    </row>
    <row r="42" s="1" customFormat="1" ht="22.5" customHeight="1" spans="1:8">
      <c r="A42" s="17" t="s">
        <v>57</v>
      </c>
      <c r="B42" s="7" t="s">
        <v>58</v>
      </c>
      <c r="C42" s="7"/>
      <c r="D42" s="7"/>
      <c r="E42" s="7"/>
      <c r="F42" s="24"/>
      <c r="G42" s="24"/>
      <c r="H42" s="7"/>
    </row>
    <row r="43" s="1" customFormat="1" ht="22.5" customHeight="1" spans="1:8">
      <c r="A43" s="17"/>
      <c r="B43" s="7" t="s">
        <v>59</v>
      </c>
      <c r="C43" s="7"/>
      <c r="D43" s="7"/>
      <c r="E43" s="7"/>
      <c r="F43" s="24"/>
      <c r="G43" s="24"/>
      <c r="H43" s="7"/>
    </row>
    <row r="44" s="1" customFormat="1" ht="22.5" customHeight="1"/>
    <row r="45" s="1" customFormat="1" ht="22.5" customHeight="1" spans="1:5">
      <c r="A45" s="33" t="s">
        <v>60</v>
      </c>
      <c r="B45" s="7" t="s">
        <v>61</v>
      </c>
      <c r="C45" s="34">
        <v>1</v>
      </c>
      <c r="D45" s="7">
        <f>COUNTIF(F:F,B45)</f>
        <v>0</v>
      </c>
      <c r="E45" s="7">
        <f t="shared" ref="E45:E53" si="0">C45-D45</f>
        <v>1</v>
      </c>
    </row>
    <row r="46" s="1" customFormat="1" ht="22.5" customHeight="1" spans="1:5">
      <c r="A46" s="33" t="s">
        <v>60</v>
      </c>
      <c r="B46" s="7" t="s">
        <v>27</v>
      </c>
      <c r="C46" s="34">
        <v>965</v>
      </c>
      <c r="D46" s="7">
        <f>COUNTIF(F:F,B46)</f>
        <v>4</v>
      </c>
      <c r="E46" s="7">
        <f t="shared" si="0"/>
        <v>961</v>
      </c>
    </row>
    <row r="47" s="1" customFormat="1" ht="22.5" customHeight="1" spans="1:5">
      <c r="A47" s="33" t="s">
        <v>60</v>
      </c>
      <c r="B47" s="7" t="s">
        <v>21</v>
      </c>
      <c r="C47" s="35">
        <v>402</v>
      </c>
      <c r="D47" s="7">
        <f>COUNTIF(F:F,B47)</f>
        <v>0</v>
      </c>
      <c r="E47" s="7">
        <f t="shared" si="0"/>
        <v>402</v>
      </c>
    </row>
    <row r="48" s="1" customFormat="1" ht="22.5" customHeight="1" spans="1:5">
      <c r="A48" s="33" t="s">
        <v>60</v>
      </c>
      <c r="B48" s="17" t="s">
        <v>62</v>
      </c>
      <c r="C48" s="35">
        <v>82</v>
      </c>
      <c r="D48" s="7">
        <f>COUNTIF(F:F,"再就业")+COUNTIF(F:F,"小贷")</f>
        <v>0</v>
      </c>
      <c r="E48" s="7">
        <f t="shared" si="0"/>
        <v>82</v>
      </c>
    </row>
    <row r="49" s="1" customFormat="1" ht="22.5" customHeight="1" spans="1:5">
      <c r="A49" s="33" t="s">
        <v>60</v>
      </c>
      <c r="B49" s="17" t="s">
        <v>63</v>
      </c>
      <c r="C49" s="35">
        <v>1</v>
      </c>
      <c r="D49" s="7">
        <f>COUNTIF(F:F,B49)</f>
        <v>0</v>
      </c>
      <c r="E49" s="7">
        <f t="shared" si="0"/>
        <v>1</v>
      </c>
    </row>
    <row r="50" s="1" customFormat="1" ht="22.5" customHeight="1" spans="1:5">
      <c r="A50" s="33" t="s">
        <v>60</v>
      </c>
      <c r="B50" s="7" t="s">
        <v>64</v>
      </c>
      <c r="C50" s="35">
        <v>615</v>
      </c>
      <c r="D50" s="7">
        <f>COUNTIF(F:F,B50)</f>
        <v>2</v>
      </c>
      <c r="E50" s="7">
        <f t="shared" si="0"/>
        <v>613</v>
      </c>
    </row>
    <row r="51" s="1" customFormat="1" ht="22.5" customHeight="1" spans="1:5">
      <c r="A51" s="33" t="s">
        <v>60</v>
      </c>
      <c r="B51" s="7" t="s">
        <v>13</v>
      </c>
      <c r="C51" s="35">
        <v>1038</v>
      </c>
      <c r="D51" s="7">
        <f>COUNTIF(F:F,B51)</f>
        <v>1</v>
      </c>
      <c r="E51" s="7">
        <f t="shared" si="0"/>
        <v>1037</v>
      </c>
    </row>
    <row r="52" s="1" customFormat="1" ht="22.5" customHeight="1" spans="1:5">
      <c r="A52" s="33" t="s">
        <v>60</v>
      </c>
      <c r="B52" s="7" t="s">
        <v>31</v>
      </c>
      <c r="C52" s="35">
        <v>4474</v>
      </c>
      <c r="D52" s="7">
        <f>COUNTIF(F:F,B52)</f>
        <v>21</v>
      </c>
      <c r="E52" s="7">
        <f t="shared" si="0"/>
        <v>4453</v>
      </c>
    </row>
    <row r="53" s="1" customFormat="1" ht="22.5" customHeight="1" spans="1:5">
      <c r="A53" s="33" t="s">
        <v>60</v>
      </c>
      <c r="B53" s="7" t="s">
        <v>65</v>
      </c>
      <c r="C53" s="36">
        <v>42</v>
      </c>
      <c r="D53" s="7">
        <f>COUNTIF(F:F,B53)</f>
        <v>0</v>
      </c>
      <c r="E53" s="7">
        <f t="shared" si="0"/>
        <v>42</v>
      </c>
    </row>
    <row r="54" s="1" customFormat="1" ht="22.5" customHeight="1" spans="1:5">
      <c r="A54" s="37"/>
      <c r="B54" s="7"/>
      <c r="C54" s="7">
        <f>SUM(C45:C53)</f>
        <v>7620</v>
      </c>
      <c r="D54" s="7">
        <f>SUM(D45:D53)</f>
        <v>28</v>
      </c>
      <c r="E54" s="7">
        <f>SUM(E45:E53)</f>
        <v>7592</v>
      </c>
    </row>
    <row r="55" s="1" customFormat="1" ht="22.5" customHeight="1"/>
  </sheetData>
  <sortState ref="B5:G32">
    <sortCondition ref="B5:B32"/>
  </sortState>
  <mergeCells count="15">
    <mergeCell ref="A1:G1"/>
    <mergeCell ref="A2:G2"/>
    <mergeCell ref="A3:G3"/>
    <mergeCell ref="B36:E36"/>
    <mergeCell ref="B37:E37"/>
    <mergeCell ref="B38:E38"/>
    <mergeCell ref="B39:E39"/>
    <mergeCell ref="B40:E40"/>
    <mergeCell ref="B41:E41"/>
    <mergeCell ref="B42:E42"/>
    <mergeCell ref="B43:E43"/>
    <mergeCell ref="A36:A37"/>
    <mergeCell ref="A38:A39"/>
    <mergeCell ref="A40:A41"/>
    <mergeCell ref="A42:A43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3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0"/>
  <sheetViews>
    <sheetView view="pageBreakPreview" zoomScaleNormal="100" workbookViewId="0">
      <selection activeCell="C18" sqref="C18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10</v>
      </c>
    </row>
    <row r="5" s="1" customFormat="1" ht="21" customHeight="1" spans="1:8">
      <c r="A5" s="11">
        <v>1</v>
      </c>
      <c r="B5" s="109">
        <v>4678</v>
      </c>
      <c r="C5" s="109" t="s">
        <v>139</v>
      </c>
      <c r="D5" s="109" t="s">
        <v>140</v>
      </c>
      <c r="E5" s="109" t="s">
        <v>141</v>
      </c>
      <c r="F5" s="108" t="s">
        <v>64</v>
      </c>
      <c r="G5" s="14">
        <v>1</v>
      </c>
      <c r="H5" s="11"/>
    </row>
    <row r="6" s="1" customFormat="1" ht="22.5" customHeight="1" spans="1:8">
      <c r="A6" s="11">
        <v>2</v>
      </c>
      <c r="B6" s="110">
        <v>9216</v>
      </c>
      <c r="C6" s="110" t="s">
        <v>142</v>
      </c>
      <c r="D6" s="111" t="s">
        <v>143</v>
      </c>
      <c r="E6" s="111" t="s">
        <v>143</v>
      </c>
      <c r="F6" s="108" t="s">
        <v>31</v>
      </c>
      <c r="G6" s="14">
        <v>1</v>
      </c>
      <c r="H6" s="7"/>
    </row>
    <row r="7" s="1" customFormat="1" ht="22.5" customHeight="1" spans="1:8">
      <c r="A7" s="11">
        <v>3</v>
      </c>
      <c r="B7" s="75">
        <v>9456</v>
      </c>
      <c r="C7" s="109" t="s">
        <v>144</v>
      </c>
      <c r="D7" s="75" t="s">
        <v>145</v>
      </c>
      <c r="E7" s="75" t="s">
        <v>145</v>
      </c>
      <c r="F7" s="108" t="s">
        <v>31</v>
      </c>
      <c r="G7" s="14">
        <v>1</v>
      </c>
      <c r="H7" s="7"/>
    </row>
    <row r="8" s="1" customFormat="1" ht="22.5" customHeight="1" spans="1:8">
      <c r="A8" s="11">
        <v>4</v>
      </c>
      <c r="B8" s="109">
        <v>10190</v>
      </c>
      <c r="C8" s="109" t="s">
        <v>146</v>
      </c>
      <c r="D8" s="109" t="s">
        <v>147</v>
      </c>
      <c r="E8" s="109" t="s">
        <v>148</v>
      </c>
      <c r="F8" s="108" t="s">
        <v>31</v>
      </c>
      <c r="G8" s="14">
        <v>1</v>
      </c>
      <c r="H8" s="7"/>
    </row>
    <row r="9" s="1" customFormat="1" ht="18.75" spans="1:8">
      <c r="A9" s="11">
        <v>5</v>
      </c>
      <c r="B9" s="75">
        <v>10488</v>
      </c>
      <c r="C9" s="109" t="s">
        <v>149</v>
      </c>
      <c r="D9" s="75" t="s">
        <v>150</v>
      </c>
      <c r="E9" s="75" t="s">
        <v>151</v>
      </c>
      <c r="F9" s="108" t="s">
        <v>31</v>
      </c>
      <c r="G9" s="14">
        <v>1</v>
      </c>
      <c r="H9" s="7"/>
    </row>
    <row r="10" s="1" customFormat="1" ht="22.5" customHeight="1" spans="1:8">
      <c r="A10" s="11">
        <v>6</v>
      </c>
      <c r="B10" s="75">
        <v>10496</v>
      </c>
      <c r="C10" s="109" t="s">
        <v>152</v>
      </c>
      <c r="D10" s="75" t="s">
        <v>153</v>
      </c>
      <c r="E10" s="75" t="s">
        <v>153</v>
      </c>
      <c r="F10" s="108" t="s">
        <v>31</v>
      </c>
      <c r="G10" s="14">
        <v>1</v>
      </c>
      <c r="H10" s="7"/>
    </row>
    <row r="11" s="1" customFormat="1" ht="22.5" customHeight="1" spans="1:8">
      <c r="A11" s="11">
        <v>7</v>
      </c>
      <c r="B11" s="75">
        <v>10880</v>
      </c>
      <c r="C11" s="75" t="s">
        <v>154</v>
      </c>
      <c r="D11" s="75" t="s">
        <v>155</v>
      </c>
      <c r="E11" s="75" t="s">
        <v>156</v>
      </c>
      <c r="F11" s="108" t="s">
        <v>31</v>
      </c>
      <c r="G11" s="14">
        <v>1</v>
      </c>
      <c r="H11" s="7"/>
    </row>
    <row r="12" s="1" customFormat="1" ht="22.5" customHeight="1" spans="1:8">
      <c r="A12" s="11">
        <v>8</v>
      </c>
      <c r="B12" s="75">
        <v>12370</v>
      </c>
      <c r="C12" s="75" t="s">
        <v>157</v>
      </c>
      <c r="D12" s="75" t="s">
        <v>158</v>
      </c>
      <c r="E12" s="75" t="s">
        <v>159</v>
      </c>
      <c r="F12" s="108" t="s">
        <v>31</v>
      </c>
      <c r="G12" s="14">
        <v>1</v>
      </c>
      <c r="H12" s="7"/>
    </row>
    <row r="13" s="1" customFormat="1" ht="22.5" customHeight="1" spans="1:8">
      <c r="A13" s="11">
        <v>9</v>
      </c>
      <c r="B13" s="75">
        <v>12499</v>
      </c>
      <c r="C13" s="75" t="s">
        <v>160</v>
      </c>
      <c r="D13" s="75" t="s">
        <v>161</v>
      </c>
      <c r="E13" s="75" t="s">
        <v>161</v>
      </c>
      <c r="F13" s="108" t="s">
        <v>31</v>
      </c>
      <c r="G13" s="14">
        <v>1</v>
      </c>
      <c r="H13" s="7"/>
    </row>
    <row r="14" s="1" customFormat="1" ht="22.5" customHeight="1" spans="1:8">
      <c r="A14" s="11">
        <v>10</v>
      </c>
      <c r="B14" s="75">
        <v>12936</v>
      </c>
      <c r="C14" s="75" t="s">
        <v>162</v>
      </c>
      <c r="D14" s="75" t="s">
        <v>163</v>
      </c>
      <c r="E14" s="75" t="s">
        <v>163</v>
      </c>
      <c r="F14" s="108" t="s">
        <v>31</v>
      </c>
      <c r="G14" s="14">
        <v>1</v>
      </c>
      <c r="H14" s="7"/>
    </row>
    <row r="15" s="1" customFormat="1" ht="22.5" customHeight="1" spans="1:8">
      <c r="A15" s="11">
        <v>11</v>
      </c>
      <c r="B15" s="109">
        <v>13142</v>
      </c>
      <c r="C15" s="138" t="s">
        <v>164</v>
      </c>
      <c r="D15" s="109" t="s">
        <v>165</v>
      </c>
      <c r="E15" s="109" t="s">
        <v>165</v>
      </c>
      <c r="F15" s="108" t="s">
        <v>31</v>
      </c>
      <c r="G15" s="14">
        <v>1</v>
      </c>
      <c r="H15" s="7"/>
    </row>
    <row r="16" s="1" customFormat="1" ht="22.5" customHeight="1" spans="1:8">
      <c r="A16" s="11">
        <v>12</v>
      </c>
      <c r="B16" s="109">
        <v>13556</v>
      </c>
      <c r="C16" s="109" t="s">
        <v>166</v>
      </c>
      <c r="D16" s="109" t="s">
        <v>167</v>
      </c>
      <c r="E16" s="109" t="s">
        <v>168</v>
      </c>
      <c r="F16" s="108" t="s">
        <v>31</v>
      </c>
      <c r="G16" s="14">
        <v>1</v>
      </c>
      <c r="H16" s="7"/>
    </row>
    <row r="17" s="1" customFormat="1" ht="22.5" customHeight="1" spans="1:8">
      <c r="A17" s="11">
        <v>13</v>
      </c>
      <c r="B17" s="109">
        <v>13702</v>
      </c>
      <c r="C17" s="109" t="s">
        <v>169</v>
      </c>
      <c r="D17" s="109" t="s">
        <v>170</v>
      </c>
      <c r="E17" s="109" t="s">
        <v>171</v>
      </c>
      <c r="F17" s="108" t="s">
        <v>31</v>
      </c>
      <c r="G17" s="14">
        <v>1</v>
      </c>
      <c r="H17" s="7"/>
    </row>
    <row r="18" s="1" customFormat="1" ht="22.5" customHeight="1" spans="1:8">
      <c r="A18" s="11">
        <v>14</v>
      </c>
      <c r="B18" s="109">
        <v>14089</v>
      </c>
      <c r="C18" s="109" t="s">
        <v>172</v>
      </c>
      <c r="D18" s="109" t="s">
        <v>173</v>
      </c>
      <c r="E18" s="109" t="s">
        <v>174</v>
      </c>
      <c r="F18" s="108" t="s">
        <v>31</v>
      </c>
      <c r="G18" s="14">
        <v>1</v>
      </c>
      <c r="H18" s="7"/>
    </row>
    <row r="19" s="1" customFormat="1" ht="22.5" customHeight="1" spans="1:8">
      <c r="A19" s="11">
        <v>15</v>
      </c>
      <c r="B19" s="109">
        <v>14365</v>
      </c>
      <c r="C19" s="138" t="s">
        <v>175</v>
      </c>
      <c r="D19" s="109" t="s">
        <v>176</v>
      </c>
      <c r="E19" s="109" t="s">
        <v>177</v>
      </c>
      <c r="F19" s="108" t="s">
        <v>31</v>
      </c>
      <c r="G19" s="14">
        <v>1</v>
      </c>
      <c r="H19" s="7"/>
    </row>
    <row r="20" s="1" customFormat="1" ht="22.5" customHeight="1" spans="1:8">
      <c r="A20" s="113">
        <v>16</v>
      </c>
      <c r="B20" s="110">
        <v>14558</v>
      </c>
      <c r="C20" s="110" t="s">
        <v>178</v>
      </c>
      <c r="D20" s="111" t="s">
        <v>179</v>
      </c>
      <c r="E20" s="111" t="s">
        <v>180</v>
      </c>
      <c r="F20" s="108" t="s">
        <v>31</v>
      </c>
      <c r="G20" s="14">
        <v>1</v>
      </c>
      <c r="H20" s="7"/>
    </row>
    <row r="21" s="1" customFormat="1" ht="22.5" customHeight="1" spans="1:8">
      <c r="A21" s="11">
        <v>17</v>
      </c>
      <c r="B21" s="109">
        <v>14644</v>
      </c>
      <c r="C21" s="109" t="s">
        <v>181</v>
      </c>
      <c r="D21" s="109" t="s">
        <v>182</v>
      </c>
      <c r="E21" s="109" t="s">
        <v>183</v>
      </c>
      <c r="F21" s="108" t="s">
        <v>31</v>
      </c>
      <c r="G21" s="14">
        <v>1</v>
      </c>
      <c r="H21" s="7"/>
    </row>
    <row r="22" s="1" customFormat="1" ht="22.5" customHeight="1" spans="1:8">
      <c r="A22" s="11">
        <v>18</v>
      </c>
      <c r="B22" s="109">
        <v>14661</v>
      </c>
      <c r="C22" s="109" t="s">
        <v>184</v>
      </c>
      <c r="D22" s="109" t="s">
        <v>185</v>
      </c>
      <c r="E22" s="109" t="s">
        <v>186</v>
      </c>
      <c r="F22" s="108" t="s">
        <v>31</v>
      </c>
      <c r="G22" s="14">
        <v>1</v>
      </c>
      <c r="H22" s="7"/>
    </row>
    <row r="23" s="1" customFormat="1" ht="22.5" customHeight="1" spans="1:8">
      <c r="A23" s="11">
        <v>19</v>
      </c>
      <c r="B23" s="109">
        <v>14747</v>
      </c>
      <c r="C23" s="109" t="s">
        <v>187</v>
      </c>
      <c r="D23" s="109" t="s">
        <v>188</v>
      </c>
      <c r="E23" s="109" t="s">
        <v>189</v>
      </c>
      <c r="F23" s="108" t="s">
        <v>31</v>
      </c>
      <c r="G23" s="14">
        <v>1</v>
      </c>
      <c r="H23" s="7"/>
    </row>
    <row r="24" s="1" customFormat="1" ht="22.5" customHeight="1" spans="1:8">
      <c r="A24" s="11">
        <v>20</v>
      </c>
      <c r="B24" s="109">
        <v>14989</v>
      </c>
      <c r="C24" s="138" t="s">
        <v>190</v>
      </c>
      <c r="D24" s="109" t="s">
        <v>191</v>
      </c>
      <c r="E24" s="109" t="s">
        <v>192</v>
      </c>
      <c r="F24" s="108" t="s">
        <v>31</v>
      </c>
      <c r="G24" s="14">
        <v>1</v>
      </c>
      <c r="H24" s="7"/>
    </row>
    <row r="25" s="1" customFormat="1" ht="22.5" customHeight="1" spans="1:8">
      <c r="A25" s="113">
        <v>21</v>
      </c>
      <c r="B25" s="109"/>
      <c r="C25" s="109"/>
      <c r="D25" s="109"/>
      <c r="E25" s="109"/>
      <c r="F25" s="108"/>
      <c r="G25" s="14"/>
      <c r="H25" s="7"/>
    </row>
    <row r="26" s="1" customFormat="1" ht="22.5" customHeight="1" spans="1:8">
      <c r="A26" s="11">
        <v>22</v>
      </c>
      <c r="B26" s="109"/>
      <c r="C26" s="109"/>
      <c r="D26" s="109"/>
      <c r="E26" s="109"/>
      <c r="F26" s="108"/>
      <c r="G26" s="14"/>
      <c r="H26" s="7"/>
    </row>
    <row r="27" s="1" customFormat="1" ht="22.5" customHeight="1" spans="1:8">
      <c r="A27" s="103"/>
      <c r="B27" s="104"/>
      <c r="C27" s="104"/>
      <c r="D27" s="104"/>
      <c r="E27" s="104"/>
      <c r="F27" s="104"/>
      <c r="G27" s="105"/>
      <c r="H27" s="23"/>
    </row>
    <row r="28" s="1" customFormat="1" ht="22.5" customHeight="1" spans="1:8">
      <c r="A28" s="103"/>
      <c r="B28" s="104"/>
      <c r="C28" s="104"/>
      <c r="D28" s="104"/>
      <c r="E28" s="104"/>
      <c r="F28" s="104"/>
      <c r="G28" s="104"/>
      <c r="H28" s="23"/>
    </row>
    <row r="29" s="1" customFormat="1" ht="22.5" customHeight="1" spans="1:7">
      <c r="A29" s="19" t="s">
        <v>47</v>
      </c>
      <c r="B29" s="20"/>
      <c r="C29" s="20"/>
      <c r="D29" s="20"/>
      <c r="E29" s="20"/>
      <c r="F29" s="20"/>
      <c r="G29" s="20"/>
    </row>
    <row r="30" s="1" customFormat="1" ht="22.5" customHeight="1" spans="1:8">
      <c r="A30" s="21" t="s">
        <v>48</v>
      </c>
      <c r="B30" s="22"/>
      <c r="C30" s="22"/>
      <c r="D30" s="22"/>
      <c r="E30" s="23"/>
      <c r="F30" s="24"/>
      <c r="G30" s="24"/>
      <c r="H30" s="7"/>
    </row>
    <row r="31" s="1" customFormat="1" ht="22.5" customHeight="1" spans="1:8">
      <c r="A31" s="7" t="s">
        <v>49</v>
      </c>
      <c r="B31" s="7" t="s">
        <v>50</v>
      </c>
      <c r="C31" s="7"/>
      <c r="D31" s="7"/>
      <c r="E31" s="7"/>
      <c r="F31" s="24"/>
      <c r="G31" s="24"/>
      <c r="H31" s="7"/>
    </row>
    <row r="32" s="1" customFormat="1" ht="22.5" customHeight="1" spans="1:8">
      <c r="A32" s="7"/>
      <c r="B32" s="7" t="s">
        <v>51</v>
      </c>
      <c r="C32" s="7"/>
      <c r="D32" s="7"/>
      <c r="E32" s="7"/>
      <c r="F32" s="24"/>
      <c r="G32" s="24"/>
      <c r="H32" s="7"/>
    </row>
    <row r="33" s="1" customFormat="1" ht="22.5" customHeight="1" spans="1:8">
      <c r="A33" s="25" t="s">
        <v>52</v>
      </c>
      <c r="B33" s="26" t="s">
        <v>53</v>
      </c>
      <c r="C33" s="27"/>
      <c r="D33" s="27"/>
      <c r="E33" s="28"/>
      <c r="F33" s="24"/>
      <c r="G33" s="24"/>
      <c r="H33" s="7"/>
    </row>
    <row r="34" s="1" customFormat="1" ht="22.5" customHeight="1" spans="1:8">
      <c r="A34" s="29"/>
      <c r="B34" s="30" t="s">
        <v>54</v>
      </c>
      <c r="C34" s="31"/>
      <c r="D34" s="31"/>
      <c r="E34" s="32"/>
      <c r="F34" s="24"/>
      <c r="G34" s="24"/>
      <c r="H34" s="7"/>
    </row>
    <row r="35" s="1" customFormat="1" ht="22.5" customHeight="1" spans="1:8">
      <c r="A35" s="17" t="s">
        <v>55</v>
      </c>
      <c r="B35" s="7" t="s">
        <v>56</v>
      </c>
      <c r="C35" s="7"/>
      <c r="D35" s="7"/>
      <c r="E35" s="7"/>
      <c r="F35" s="24"/>
      <c r="G35" s="24"/>
      <c r="H35" s="7"/>
    </row>
    <row r="36" s="1" customFormat="1" ht="22.5" customHeight="1" spans="1:8">
      <c r="A36" s="17"/>
      <c r="B36" s="7" t="s">
        <v>56</v>
      </c>
      <c r="C36" s="7"/>
      <c r="D36" s="7"/>
      <c r="E36" s="7"/>
      <c r="F36" s="24"/>
      <c r="G36" s="24"/>
      <c r="H36" s="7"/>
    </row>
    <row r="37" s="1" customFormat="1" ht="22.5" customHeight="1" spans="1:8">
      <c r="A37" s="17" t="s">
        <v>57</v>
      </c>
      <c r="B37" s="7" t="s">
        <v>58</v>
      </c>
      <c r="C37" s="7"/>
      <c r="D37" s="7"/>
      <c r="E37" s="7"/>
      <c r="F37" s="24"/>
      <c r="G37" s="24"/>
      <c r="H37" s="7"/>
    </row>
    <row r="38" s="1" customFormat="1" ht="22.5" customHeight="1" spans="1:8">
      <c r="A38" s="17"/>
      <c r="B38" s="7" t="s">
        <v>59</v>
      </c>
      <c r="C38" s="7"/>
      <c r="D38" s="7"/>
      <c r="E38" s="7"/>
      <c r="F38" s="24"/>
      <c r="G38" s="24"/>
      <c r="H38" s="7"/>
    </row>
    <row r="39" s="1" customFormat="1" ht="22.5" customHeight="1"/>
    <row r="40" s="1" customFormat="1" ht="22.5" customHeight="1" spans="1:5">
      <c r="A40" s="33" t="s">
        <v>60</v>
      </c>
      <c r="B40" s="7" t="s">
        <v>61</v>
      </c>
      <c r="C40" s="34">
        <v>1</v>
      </c>
      <c r="D40" s="7">
        <f>COUNTIF(F:F,B40)</f>
        <v>0</v>
      </c>
      <c r="E40" s="7">
        <f t="shared" ref="E40:E48" si="0">C40-D40</f>
        <v>1</v>
      </c>
    </row>
    <row r="41" s="1" customFormat="1" ht="22.5" customHeight="1" spans="1:5">
      <c r="A41" s="33" t="s">
        <v>60</v>
      </c>
      <c r="B41" s="7" t="s">
        <v>27</v>
      </c>
      <c r="C41" s="34">
        <v>965</v>
      </c>
      <c r="D41" s="7">
        <f>COUNTIF(F:F,B41)</f>
        <v>0</v>
      </c>
      <c r="E41" s="7">
        <f t="shared" si="0"/>
        <v>965</v>
      </c>
    </row>
    <row r="42" s="1" customFormat="1" ht="22.5" customHeight="1" spans="1:5">
      <c r="A42" s="33" t="s">
        <v>60</v>
      </c>
      <c r="B42" s="7" t="s">
        <v>21</v>
      </c>
      <c r="C42" s="35">
        <v>402</v>
      </c>
      <c r="D42" s="7">
        <f>COUNTIF(F:F,B42)</f>
        <v>0</v>
      </c>
      <c r="E42" s="7">
        <f t="shared" si="0"/>
        <v>402</v>
      </c>
    </row>
    <row r="43" s="1" customFormat="1" ht="22.5" customHeight="1" spans="1:5">
      <c r="A43" s="33" t="s">
        <v>60</v>
      </c>
      <c r="B43" s="17" t="s">
        <v>62</v>
      </c>
      <c r="C43" s="35">
        <v>82</v>
      </c>
      <c r="D43" s="7">
        <f>COUNTIF(F:F,"再就业")+COUNTIF(F:F,"小贷")</f>
        <v>0</v>
      </c>
      <c r="E43" s="7">
        <f t="shared" si="0"/>
        <v>82</v>
      </c>
    </row>
    <row r="44" s="1" customFormat="1" ht="22.5" customHeight="1" spans="1:5">
      <c r="A44" s="33" t="s">
        <v>60</v>
      </c>
      <c r="B44" s="17" t="s">
        <v>63</v>
      </c>
      <c r="C44" s="35">
        <v>1</v>
      </c>
      <c r="D44" s="7">
        <f>COUNTIF(F:F,B44)</f>
        <v>0</v>
      </c>
      <c r="E44" s="7">
        <f t="shared" si="0"/>
        <v>1</v>
      </c>
    </row>
    <row r="45" s="1" customFormat="1" ht="22.5" customHeight="1" spans="1:5">
      <c r="A45" s="33" t="s">
        <v>60</v>
      </c>
      <c r="B45" s="7" t="s">
        <v>64</v>
      </c>
      <c r="C45" s="35">
        <v>615</v>
      </c>
      <c r="D45" s="7">
        <f>COUNTIF(F:F,B45)</f>
        <v>1</v>
      </c>
      <c r="E45" s="7">
        <f t="shared" si="0"/>
        <v>614</v>
      </c>
    </row>
    <row r="46" s="1" customFormat="1" ht="22.5" customHeight="1" spans="1:5">
      <c r="A46" s="33" t="s">
        <v>60</v>
      </c>
      <c r="B46" s="7" t="s">
        <v>13</v>
      </c>
      <c r="C46" s="35">
        <v>996</v>
      </c>
      <c r="D46" s="7">
        <f>COUNTIF(F:F,B46)</f>
        <v>0</v>
      </c>
      <c r="E46" s="7">
        <f t="shared" si="0"/>
        <v>996</v>
      </c>
    </row>
    <row r="47" s="1" customFormat="1" ht="22.5" customHeight="1" spans="1:5">
      <c r="A47" s="33" t="s">
        <v>60</v>
      </c>
      <c r="B47" s="7" t="s">
        <v>31</v>
      </c>
      <c r="C47" s="35">
        <v>4487</v>
      </c>
      <c r="D47" s="7">
        <f>COUNTIF(F:F,B47)</f>
        <v>19</v>
      </c>
      <c r="E47" s="7">
        <f t="shared" si="0"/>
        <v>4468</v>
      </c>
    </row>
    <row r="48" s="1" customFormat="1" ht="22.5" customHeight="1" spans="1:5">
      <c r="A48" s="33" t="s">
        <v>60</v>
      </c>
      <c r="B48" s="7" t="s">
        <v>65</v>
      </c>
      <c r="C48" s="36">
        <v>42</v>
      </c>
      <c r="D48" s="7">
        <f>COUNTIF(F:F,B48)</f>
        <v>0</v>
      </c>
      <c r="E48" s="7">
        <f t="shared" si="0"/>
        <v>42</v>
      </c>
    </row>
    <row r="49" s="1" customFormat="1" ht="22.5" customHeight="1" spans="1:5">
      <c r="A49" s="37"/>
      <c r="B49" s="7"/>
      <c r="C49" s="7">
        <f>SUM(C40:C48)</f>
        <v>7591</v>
      </c>
      <c r="D49" s="7">
        <f>SUM(D40:D48)</f>
        <v>20</v>
      </c>
      <c r="E49" s="7">
        <f>SUM(E40:E48)</f>
        <v>7571</v>
      </c>
    </row>
    <row r="50" s="1" customFormat="1" ht="22.5" customHeight="1"/>
  </sheetData>
  <sortState ref="B5:G24">
    <sortCondition ref="B5:B24"/>
  </sortState>
  <mergeCells count="15">
    <mergeCell ref="A1:G1"/>
    <mergeCell ref="A2:G2"/>
    <mergeCell ref="A3:G3"/>
    <mergeCell ref="B31:E31"/>
    <mergeCell ref="B32:E32"/>
    <mergeCell ref="B33:E33"/>
    <mergeCell ref="B34:E34"/>
    <mergeCell ref="B35:E35"/>
    <mergeCell ref="B36:E36"/>
    <mergeCell ref="B37:E37"/>
    <mergeCell ref="B38:E38"/>
    <mergeCell ref="A31:A32"/>
    <mergeCell ref="A33:A34"/>
    <mergeCell ref="A35:A36"/>
    <mergeCell ref="A37:A38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0"/>
  <sheetViews>
    <sheetView view="pageBreakPreview" zoomScaleNormal="100" topLeftCell="A31" workbookViewId="0">
      <selection activeCell="C6" sqref="C6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10</v>
      </c>
    </row>
    <row r="5" s="1" customFormat="1" ht="21" customHeight="1" spans="1:8">
      <c r="A5" s="11">
        <v>1</v>
      </c>
      <c r="B5" s="109">
        <v>1730</v>
      </c>
      <c r="C5" s="109" t="s">
        <v>193</v>
      </c>
      <c r="D5" s="109" t="s">
        <v>194</v>
      </c>
      <c r="E5" s="109" t="s">
        <v>194</v>
      </c>
      <c r="F5" s="108" t="s">
        <v>13</v>
      </c>
      <c r="G5" s="14">
        <v>1</v>
      </c>
      <c r="H5" s="11"/>
    </row>
    <row r="6" s="1" customFormat="1" ht="22.5" customHeight="1" spans="1:8">
      <c r="A6" s="11">
        <v>2</v>
      </c>
      <c r="B6" s="109">
        <v>1979</v>
      </c>
      <c r="C6" s="127" t="s">
        <v>195</v>
      </c>
      <c r="D6" s="109" t="s">
        <v>196</v>
      </c>
      <c r="E6" s="109" t="s">
        <v>196</v>
      </c>
      <c r="F6" s="108" t="s">
        <v>13</v>
      </c>
      <c r="G6" s="14">
        <v>1</v>
      </c>
      <c r="H6" s="7"/>
    </row>
    <row r="7" s="1" customFormat="1" ht="22.5" customHeight="1" spans="1:8">
      <c r="A7" s="11">
        <v>3</v>
      </c>
      <c r="B7" s="75">
        <v>2082</v>
      </c>
      <c r="C7" s="138" t="s">
        <v>197</v>
      </c>
      <c r="D7" s="75" t="s">
        <v>198</v>
      </c>
      <c r="E7" s="75" t="s">
        <v>198</v>
      </c>
      <c r="F7" s="108" t="s">
        <v>13</v>
      </c>
      <c r="G7" s="14">
        <v>1</v>
      </c>
      <c r="H7" s="7"/>
    </row>
    <row r="8" s="1" customFormat="1" ht="22.5" customHeight="1" spans="1:8">
      <c r="A8" s="11">
        <v>4</v>
      </c>
      <c r="B8" s="109">
        <v>4141</v>
      </c>
      <c r="C8" s="109" t="s">
        <v>199</v>
      </c>
      <c r="D8" s="109" t="s">
        <v>200</v>
      </c>
      <c r="E8" s="109" t="s">
        <v>201</v>
      </c>
      <c r="F8" s="112" t="s">
        <v>21</v>
      </c>
      <c r="G8" s="14">
        <v>1</v>
      </c>
      <c r="H8" s="7"/>
    </row>
    <row r="9" s="1" customFormat="1" ht="18.75" spans="1:8">
      <c r="A9" s="11">
        <v>5</v>
      </c>
      <c r="B9" s="73">
        <v>4799</v>
      </c>
      <c r="C9" s="139" t="s">
        <v>202</v>
      </c>
      <c r="D9" s="74" t="s">
        <v>203</v>
      </c>
      <c r="E9" s="74" t="s">
        <v>204</v>
      </c>
      <c r="F9" s="112" t="s">
        <v>27</v>
      </c>
      <c r="G9" s="14">
        <v>1</v>
      </c>
      <c r="H9" s="7"/>
    </row>
    <row r="10" s="1" customFormat="1" ht="22.5" customHeight="1" spans="1:8">
      <c r="A10" s="11">
        <v>6</v>
      </c>
      <c r="B10" s="75">
        <v>9802</v>
      </c>
      <c r="C10" s="127" t="s">
        <v>205</v>
      </c>
      <c r="D10" s="75" t="s">
        <v>206</v>
      </c>
      <c r="E10" s="75" t="s">
        <v>207</v>
      </c>
      <c r="F10" s="112" t="s">
        <v>31</v>
      </c>
      <c r="G10" s="14">
        <v>1</v>
      </c>
      <c r="H10" s="7"/>
    </row>
    <row r="11" s="1" customFormat="1" ht="22.5" customHeight="1" spans="1:8">
      <c r="A11" s="11">
        <v>7</v>
      </c>
      <c r="B11" s="73">
        <v>11572</v>
      </c>
      <c r="C11" s="73" t="s">
        <v>208</v>
      </c>
      <c r="D11" s="74" t="s">
        <v>209</v>
      </c>
      <c r="E11" s="74" t="s">
        <v>210</v>
      </c>
      <c r="F11" s="112" t="s">
        <v>31</v>
      </c>
      <c r="G11" s="14">
        <v>1</v>
      </c>
      <c r="H11" s="7"/>
    </row>
    <row r="12" s="1" customFormat="1" ht="22.5" customHeight="1" spans="1:8">
      <c r="A12" s="11">
        <v>8</v>
      </c>
      <c r="B12" s="75">
        <v>12290</v>
      </c>
      <c r="C12" s="140" t="s">
        <v>211</v>
      </c>
      <c r="D12" s="75" t="s">
        <v>212</v>
      </c>
      <c r="E12" s="75" t="s">
        <v>213</v>
      </c>
      <c r="F12" s="112" t="s">
        <v>31</v>
      </c>
      <c r="G12" s="14">
        <v>1</v>
      </c>
      <c r="H12" s="7"/>
    </row>
    <row r="13" s="1" customFormat="1" ht="22.5" customHeight="1" spans="1:8">
      <c r="A13" s="11">
        <v>9</v>
      </c>
      <c r="B13" s="75">
        <v>14913</v>
      </c>
      <c r="C13" s="140" t="s">
        <v>214</v>
      </c>
      <c r="D13" s="75" t="s">
        <v>215</v>
      </c>
      <c r="E13" s="75" t="s">
        <v>216</v>
      </c>
      <c r="F13" s="112" t="s">
        <v>31</v>
      </c>
      <c r="G13" s="14">
        <v>1</v>
      </c>
      <c r="H13" s="7"/>
    </row>
    <row r="14" s="1" customFormat="1" ht="22.5" customHeight="1" spans="1:8">
      <c r="A14" s="11">
        <v>10</v>
      </c>
      <c r="B14" s="75"/>
      <c r="C14" s="75"/>
      <c r="D14" s="75"/>
      <c r="E14" s="75"/>
      <c r="F14" s="108"/>
      <c r="G14" s="14"/>
      <c r="H14" s="7"/>
    </row>
    <row r="15" s="1" customFormat="1" ht="22.5" customHeight="1" spans="1:8">
      <c r="A15" s="11">
        <v>11</v>
      </c>
      <c r="B15" s="109"/>
      <c r="C15" s="109"/>
      <c r="D15" s="109"/>
      <c r="E15" s="109"/>
      <c r="F15" s="108"/>
      <c r="G15" s="14"/>
      <c r="H15" s="7"/>
    </row>
    <row r="16" s="1" customFormat="1" ht="22.5" customHeight="1" spans="1:8">
      <c r="A16" s="11">
        <v>12</v>
      </c>
      <c r="B16" s="109"/>
      <c r="C16" s="109"/>
      <c r="D16" s="109"/>
      <c r="E16" s="109"/>
      <c r="F16" s="112"/>
      <c r="G16" s="14"/>
      <c r="H16" s="7"/>
    </row>
    <row r="17" s="1" customFormat="1" ht="22.5" customHeight="1" spans="1:8">
      <c r="A17" s="11">
        <v>13</v>
      </c>
      <c r="B17" s="109"/>
      <c r="C17" s="109"/>
      <c r="D17" s="109"/>
      <c r="E17" s="109"/>
      <c r="F17" s="108"/>
      <c r="G17" s="14"/>
      <c r="H17" s="7"/>
    </row>
    <row r="18" s="1" customFormat="1" ht="22.5" customHeight="1" spans="1:8">
      <c r="A18" s="11">
        <v>14</v>
      </c>
      <c r="B18" s="109"/>
      <c r="C18" s="109"/>
      <c r="D18" s="109"/>
      <c r="E18" s="109"/>
      <c r="F18" s="108"/>
      <c r="G18" s="14"/>
      <c r="H18" s="7"/>
    </row>
    <row r="19" s="1" customFormat="1" ht="22.5" customHeight="1" spans="1:8">
      <c r="A19" s="11">
        <v>15</v>
      </c>
      <c r="B19" s="109"/>
      <c r="C19" s="109"/>
      <c r="D19" s="109"/>
      <c r="E19" s="109"/>
      <c r="F19" s="108"/>
      <c r="G19" s="14"/>
      <c r="H19" s="7"/>
    </row>
    <row r="20" s="1" customFormat="1" ht="22.5" customHeight="1" spans="1:8">
      <c r="A20" s="113">
        <v>16</v>
      </c>
      <c r="B20" s="109"/>
      <c r="C20" s="109"/>
      <c r="D20" s="109"/>
      <c r="E20" s="109"/>
      <c r="F20" s="108"/>
      <c r="G20" s="14"/>
      <c r="H20" s="7"/>
    </row>
    <row r="21" s="1" customFormat="1" ht="22.5" customHeight="1" spans="1:8">
      <c r="A21" s="11">
        <v>17</v>
      </c>
      <c r="B21" s="109"/>
      <c r="C21" s="109"/>
      <c r="D21" s="109"/>
      <c r="E21" s="109"/>
      <c r="F21" s="108"/>
      <c r="G21" s="14"/>
      <c r="H21" s="7"/>
    </row>
    <row r="22" s="1" customFormat="1" ht="22.5" customHeight="1" spans="1:8">
      <c r="A22" s="11">
        <v>18</v>
      </c>
      <c r="B22" s="109"/>
      <c r="C22" s="109"/>
      <c r="D22" s="109"/>
      <c r="E22" s="109"/>
      <c r="F22" s="108"/>
      <c r="G22" s="14"/>
      <c r="H22" s="7"/>
    </row>
    <row r="23" s="1" customFormat="1" ht="22.5" customHeight="1" spans="1:8">
      <c r="A23" s="11">
        <v>19</v>
      </c>
      <c r="B23" s="109"/>
      <c r="C23" s="109"/>
      <c r="D23" s="109"/>
      <c r="E23" s="109"/>
      <c r="F23" s="108"/>
      <c r="G23" s="14"/>
      <c r="H23" s="7"/>
    </row>
    <row r="24" s="1" customFormat="1" ht="22.5" customHeight="1" spans="1:8">
      <c r="A24" s="11">
        <v>20</v>
      </c>
      <c r="B24" s="109"/>
      <c r="C24" s="109"/>
      <c r="D24" s="109"/>
      <c r="E24" s="109"/>
      <c r="F24" s="108"/>
      <c r="G24" s="14"/>
      <c r="H24" s="7"/>
    </row>
    <row r="25" s="1" customFormat="1" ht="22.5" customHeight="1" spans="1:8">
      <c r="A25" s="113">
        <v>21</v>
      </c>
      <c r="B25" s="109"/>
      <c r="C25" s="109"/>
      <c r="D25" s="109"/>
      <c r="E25" s="109"/>
      <c r="F25" s="108"/>
      <c r="G25" s="14"/>
      <c r="H25" s="7"/>
    </row>
    <row r="26" s="1" customFormat="1" ht="22.5" customHeight="1" spans="1:8">
      <c r="A26" s="11">
        <v>22</v>
      </c>
      <c r="B26" s="109"/>
      <c r="C26" s="109"/>
      <c r="D26" s="109"/>
      <c r="E26" s="109"/>
      <c r="F26" s="108"/>
      <c r="G26" s="14"/>
      <c r="H26" s="7"/>
    </row>
    <row r="27" s="1" customFormat="1" ht="22.5" customHeight="1" spans="1:8">
      <c r="A27" s="103"/>
      <c r="B27" s="104"/>
      <c r="C27" s="104"/>
      <c r="D27" s="104"/>
      <c r="E27" s="104"/>
      <c r="F27" s="104"/>
      <c r="G27" s="105"/>
      <c r="H27" s="23"/>
    </row>
    <row r="28" s="1" customFormat="1" ht="22.5" customHeight="1" spans="1:8">
      <c r="A28" s="103"/>
      <c r="B28" s="104"/>
      <c r="C28" s="104"/>
      <c r="D28" s="104"/>
      <c r="E28" s="104"/>
      <c r="F28" s="104"/>
      <c r="G28" s="104"/>
      <c r="H28" s="23"/>
    </row>
    <row r="29" s="1" customFormat="1" ht="22.5" customHeight="1" spans="1:7">
      <c r="A29" s="19" t="s">
        <v>47</v>
      </c>
      <c r="B29" s="20"/>
      <c r="C29" s="20"/>
      <c r="D29" s="20"/>
      <c r="E29" s="20"/>
      <c r="F29" s="20"/>
      <c r="G29" s="20"/>
    </row>
    <row r="30" s="1" customFormat="1" ht="22.5" customHeight="1" spans="1:8">
      <c r="A30" s="21" t="s">
        <v>48</v>
      </c>
      <c r="B30" s="22"/>
      <c r="C30" s="22"/>
      <c r="D30" s="22"/>
      <c r="E30" s="23"/>
      <c r="F30" s="24"/>
      <c r="G30" s="24"/>
      <c r="H30" s="7"/>
    </row>
    <row r="31" s="1" customFormat="1" ht="22.5" customHeight="1" spans="1:8">
      <c r="A31" s="7" t="s">
        <v>49</v>
      </c>
      <c r="B31" s="7" t="s">
        <v>50</v>
      </c>
      <c r="C31" s="7"/>
      <c r="D31" s="7"/>
      <c r="E31" s="7"/>
      <c r="F31" s="24"/>
      <c r="G31" s="24"/>
      <c r="H31" s="7"/>
    </row>
    <row r="32" s="1" customFormat="1" ht="22.5" customHeight="1" spans="1:8">
      <c r="A32" s="7"/>
      <c r="B32" s="7" t="s">
        <v>51</v>
      </c>
      <c r="C32" s="7"/>
      <c r="D32" s="7"/>
      <c r="E32" s="7"/>
      <c r="F32" s="24"/>
      <c r="G32" s="24"/>
      <c r="H32" s="7"/>
    </row>
    <row r="33" s="1" customFormat="1" ht="22.5" customHeight="1" spans="1:8">
      <c r="A33" s="25" t="s">
        <v>52</v>
      </c>
      <c r="B33" s="26" t="s">
        <v>53</v>
      </c>
      <c r="C33" s="27"/>
      <c r="D33" s="27"/>
      <c r="E33" s="28"/>
      <c r="F33" s="24"/>
      <c r="G33" s="24"/>
      <c r="H33" s="7"/>
    </row>
    <row r="34" s="1" customFormat="1" ht="22.5" customHeight="1" spans="1:8">
      <c r="A34" s="29"/>
      <c r="B34" s="30" t="s">
        <v>54</v>
      </c>
      <c r="C34" s="31"/>
      <c r="D34" s="31"/>
      <c r="E34" s="32"/>
      <c r="F34" s="24"/>
      <c r="G34" s="24"/>
      <c r="H34" s="7"/>
    </row>
    <row r="35" s="1" customFormat="1" ht="22.5" customHeight="1" spans="1:8">
      <c r="A35" s="17" t="s">
        <v>55</v>
      </c>
      <c r="B35" s="7" t="s">
        <v>56</v>
      </c>
      <c r="C35" s="7"/>
      <c r="D35" s="7"/>
      <c r="E35" s="7"/>
      <c r="F35" s="24"/>
      <c r="G35" s="24"/>
      <c r="H35" s="7"/>
    </row>
    <row r="36" s="1" customFormat="1" ht="22.5" customHeight="1" spans="1:8">
      <c r="A36" s="17"/>
      <c r="B36" s="7" t="s">
        <v>56</v>
      </c>
      <c r="C36" s="7"/>
      <c r="D36" s="7"/>
      <c r="E36" s="7"/>
      <c r="F36" s="24"/>
      <c r="G36" s="24"/>
      <c r="H36" s="7"/>
    </row>
    <row r="37" s="1" customFormat="1" ht="22.5" customHeight="1" spans="1:8">
      <c r="A37" s="17" t="s">
        <v>57</v>
      </c>
      <c r="B37" s="7" t="s">
        <v>58</v>
      </c>
      <c r="C37" s="7"/>
      <c r="D37" s="7"/>
      <c r="E37" s="7"/>
      <c r="F37" s="24"/>
      <c r="G37" s="24"/>
      <c r="H37" s="7"/>
    </row>
    <row r="38" s="1" customFormat="1" ht="22.5" customHeight="1" spans="1:8">
      <c r="A38" s="17"/>
      <c r="B38" s="7" t="s">
        <v>59</v>
      </c>
      <c r="C38" s="7"/>
      <c r="D38" s="7"/>
      <c r="E38" s="7"/>
      <c r="F38" s="24"/>
      <c r="G38" s="24"/>
      <c r="H38" s="7"/>
    </row>
    <row r="39" s="1" customFormat="1" ht="22.5" customHeight="1"/>
    <row r="40" s="1" customFormat="1" ht="22.5" customHeight="1" spans="1:5">
      <c r="A40" s="33" t="s">
        <v>60</v>
      </c>
      <c r="B40" s="7" t="s">
        <v>61</v>
      </c>
      <c r="C40" s="34">
        <v>1</v>
      </c>
      <c r="D40" s="7">
        <f>COUNTIF(F:F,B40)</f>
        <v>0</v>
      </c>
      <c r="E40" s="7">
        <f t="shared" ref="E40:E48" si="0">C40-D40</f>
        <v>1</v>
      </c>
    </row>
    <row r="41" s="1" customFormat="1" ht="22.5" customHeight="1" spans="1:5">
      <c r="A41" s="33" t="s">
        <v>60</v>
      </c>
      <c r="B41" s="7" t="s">
        <v>27</v>
      </c>
      <c r="C41" s="34">
        <v>966</v>
      </c>
      <c r="D41" s="7">
        <f>COUNTIF(F:F,B41)</f>
        <v>1</v>
      </c>
      <c r="E41" s="7">
        <f t="shared" si="0"/>
        <v>965</v>
      </c>
    </row>
    <row r="42" s="1" customFormat="1" ht="22.5" customHeight="1" spans="1:5">
      <c r="A42" s="33" t="s">
        <v>60</v>
      </c>
      <c r="B42" s="7" t="s">
        <v>21</v>
      </c>
      <c r="C42" s="35">
        <v>403</v>
      </c>
      <c r="D42" s="7">
        <f>COUNTIF(F:F,B42)</f>
        <v>1</v>
      </c>
      <c r="E42" s="7">
        <f t="shared" si="0"/>
        <v>402</v>
      </c>
    </row>
    <row r="43" s="1" customFormat="1" ht="22.5" customHeight="1" spans="1:5">
      <c r="A43" s="33" t="s">
        <v>60</v>
      </c>
      <c r="B43" s="17" t="s">
        <v>62</v>
      </c>
      <c r="C43" s="35">
        <v>82</v>
      </c>
      <c r="D43" s="7">
        <f>COUNTIF(F:F,"再就业")+COUNTIF(F:F,"小贷")</f>
        <v>0</v>
      </c>
      <c r="E43" s="7">
        <f t="shared" si="0"/>
        <v>82</v>
      </c>
    </row>
    <row r="44" s="1" customFormat="1" ht="22.5" customHeight="1" spans="1:5">
      <c r="A44" s="33" t="s">
        <v>60</v>
      </c>
      <c r="B44" s="17" t="s">
        <v>63</v>
      </c>
      <c r="C44" s="35">
        <v>1</v>
      </c>
      <c r="D44" s="7">
        <f>COUNTIF(F:F,B44)</f>
        <v>0</v>
      </c>
      <c r="E44" s="7">
        <f t="shared" si="0"/>
        <v>1</v>
      </c>
    </row>
    <row r="45" s="1" customFormat="1" ht="22.5" customHeight="1" spans="1:5">
      <c r="A45" s="33" t="s">
        <v>60</v>
      </c>
      <c r="B45" s="7" t="s">
        <v>64</v>
      </c>
      <c r="C45" s="35">
        <v>613</v>
      </c>
      <c r="D45" s="7">
        <f>COUNTIF(F:F,B45)</f>
        <v>0</v>
      </c>
      <c r="E45" s="7">
        <f t="shared" si="0"/>
        <v>613</v>
      </c>
    </row>
    <row r="46" s="1" customFormat="1" ht="22.5" customHeight="1" spans="1:5">
      <c r="A46" s="33" t="s">
        <v>60</v>
      </c>
      <c r="B46" s="7" t="s">
        <v>13</v>
      </c>
      <c r="C46" s="35">
        <v>919</v>
      </c>
      <c r="D46" s="7">
        <f>COUNTIF(F:F,B46)</f>
        <v>3</v>
      </c>
      <c r="E46" s="7">
        <f t="shared" si="0"/>
        <v>916</v>
      </c>
    </row>
    <row r="47" s="1" customFormat="1" ht="22.5" customHeight="1" spans="1:5">
      <c r="A47" s="33" t="s">
        <v>60</v>
      </c>
      <c r="B47" s="7" t="s">
        <v>31</v>
      </c>
      <c r="C47" s="35">
        <v>4489</v>
      </c>
      <c r="D47" s="7">
        <f>COUNTIF(F:F,B47)</f>
        <v>4</v>
      </c>
      <c r="E47" s="7">
        <f t="shared" si="0"/>
        <v>4485</v>
      </c>
    </row>
    <row r="48" s="1" customFormat="1" ht="22.5" customHeight="1" spans="1:5">
      <c r="A48" s="33" t="s">
        <v>60</v>
      </c>
      <c r="B48" s="7" t="s">
        <v>65</v>
      </c>
      <c r="C48" s="36">
        <v>42</v>
      </c>
      <c r="D48" s="7">
        <f>COUNTIF(F:F,B48)</f>
        <v>0</v>
      </c>
      <c r="E48" s="7">
        <f t="shared" si="0"/>
        <v>42</v>
      </c>
    </row>
    <row r="49" s="1" customFormat="1" ht="22.5" customHeight="1" spans="1:5">
      <c r="A49" s="37"/>
      <c r="B49" s="7"/>
      <c r="C49" s="7">
        <f>SUM(C40:C48)</f>
        <v>7516</v>
      </c>
      <c r="D49" s="7">
        <f>SUM(D40:D48)</f>
        <v>9</v>
      </c>
      <c r="E49" s="7">
        <f>SUM(E40:E48)</f>
        <v>7507</v>
      </c>
    </row>
    <row r="50" s="1" customFormat="1" ht="22.5" customHeight="1"/>
  </sheetData>
  <sortState ref="B5:F13">
    <sortCondition ref="B5:B13"/>
  </sortState>
  <mergeCells count="15">
    <mergeCell ref="A1:G1"/>
    <mergeCell ref="A2:G2"/>
    <mergeCell ref="A3:G3"/>
    <mergeCell ref="B31:E31"/>
    <mergeCell ref="B32:E32"/>
    <mergeCell ref="B33:E33"/>
    <mergeCell ref="B34:E34"/>
    <mergeCell ref="B35:E35"/>
    <mergeCell ref="B36:E36"/>
    <mergeCell ref="B37:E37"/>
    <mergeCell ref="B38:E38"/>
    <mergeCell ref="A31:A32"/>
    <mergeCell ref="A33:A34"/>
    <mergeCell ref="A35:A36"/>
    <mergeCell ref="A37:A38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0"/>
  <sheetViews>
    <sheetView view="pageBreakPreview" zoomScaleNormal="100" topLeftCell="A4" workbookViewId="0">
      <selection activeCell="C16" sqref="C16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10</v>
      </c>
    </row>
    <row r="5" s="1" customFormat="1" ht="21" customHeight="1" spans="1:8">
      <c r="A5" s="11">
        <v>1</v>
      </c>
      <c r="B5" s="75">
        <v>4377</v>
      </c>
      <c r="C5" s="109" t="s">
        <v>217</v>
      </c>
      <c r="D5" s="75" t="s">
        <v>218</v>
      </c>
      <c r="E5" s="75" t="s">
        <v>218</v>
      </c>
      <c r="F5" s="108" t="s">
        <v>21</v>
      </c>
      <c r="G5" s="14">
        <v>1</v>
      </c>
      <c r="H5" s="11"/>
    </row>
    <row r="6" s="1" customFormat="1" ht="22.5" customHeight="1" spans="1:8">
      <c r="A6" s="11">
        <v>2</v>
      </c>
      <c r="B6" s="110">
        <v>4451</v>
      </c>
      <c r="C6" s="110" t="s">
        <v>219</v>
      </c>
      <c r="D6" s="111" t="s">
        <v>220</v>
      </c>
      <c r="E6" s="111" t="s">
        <v>220</v>
      </c>
      <c r="F6" s="112" t="s">
        <v>27</v>
      </c>
      <c r="G6" s="14">
        <v>1</v>
      </c>
      <c r="H6" s="7"/>
    </row>
    <row r="7" s="1" customFormat="1" ht="22.5" customHeight="1" spans="1:8">
      <c r="A7" s="11">
        <v>3</v>
      </c>
      <c r="B7" s="75">
        <v>4552</v>
      </c>
      <c r="C7" s="109" t="s">
        <v>221</v>
      </c>
      <c r="D7" s="75" t="s">
        <v>153</v>
      </c>
      <c r="E7" s="75" t="s">
        <v>222</v>
      </c>
      <c r="F7" s="108" t="s">
        <v>21</v>
      </c>
      <c r="G7" s="14">
        <v>1</v>
      </c>
      <c r="H7" s="7"/>
    </row>
    <row r="8" s="1" customFormat="1" ht="22.5" customHeight="1" spans="1:8">
      <c r="A8" s="11">
        <v>4</v>
      </c>
      <c r="B8" s="75">
        <v>5173</v>
      </c>
      <c r="C8" s="109" t="s">
        <v>223</v>
      </c>
      <c r="D8" s="75" t="s">
        <v>224</v>
      </c>
      <c r="E8" s="75" t="s">
        <v>225</v>
      </c>
      <c r="F8" s="112" t="s">
        <v>27</v>
      </c>
      <c r="G8" s="14">
        <v>1</v>
      </c>
      <c r="H8" s="7"/>
    </row>
    <row r="9" s="1" customFormat="1" ht="18.75" spans="1:8">
      <c r="A9" s="11">
        <v>5</v>
      </c>
      <c r="B9" s="75">
        <v>5179</v>
      </c>
      <c r="C9" s="75" t="s">
        <v>226</v>
      </c>
      <c r="D9" s="75" t="s">
        <v>227</v>
      </c>
      <c r="E9" s="75" t="s">
        <v>228</v>
      </c>
      <c r="F9" s="112" t="s">
        <v>27</v>
      </c>
      <c r="G9" s="14">
        <v>1</v>
      </c>
      <c r="H9" s="7"/>
    </row>
    <row r="10" s="1" customFormat="1" ht="22.5" customHeight="1" spans="1:8">
      <c r="A10" s="11">
        <v>6</v>
      </c>
      <c r="B10" s="75">
        <v>5242</v>
      </c>
      <c r="C10" s="75" t="s">
        <v>229</v>
      </c>
      <c r="D10" s="75" t="s">
        <v>230</v>
      </c>
      <c r="E10" s="75" t="s">
        <v>231</v>
      </c>
      <c r="F10" s="112" t="s">
        <v>27</v>
      </c>
      <c r="G10" s="14">
        <v>1</v>
      </c>
      <c r="H10" s="7"/>
    </row>
    <row r="11" s="1" customFormat="1" ht="22.5" customHeight="1" spans="1:8">
      <c r="A11" s="11">
        <v>7</v>
      </c>
      <c r="B11" s="73">
        <v>5301</v>
      </c>
      <c r="C11" s="73" t="s">
        <v>232</v>
      </c>
      <c r="D11" s="74" t="s">
        <v>233</v>
      </c>
      <c r="E11" s="74" t="s">
        <v>234</v>
      </c>
      <c r="F11" s="112" t="s">
        <v>27</v>
      </c>
      <c r="G11" s="14">
        <v>1</v>
      </c>
      <c r="H11" s="7"/>
    </row>
    <row r="12" s="1" customFormat="1" ht="22.5" customHeight="1" spans="1:8">
      <c r="A12" s="11">
        <v>8</v>
      </c>
      <c r="B12" s="75">
        <v>9818</v>
      </c>
      <c r="C12" s="75" t="s">
        <v>235</v>
      </c>
      <c r="D12" s="75" t="s">
        <v>236</v>
      </c>
      <c r="E12" s="75" t="s">
        <v>237</v>
      </c>
      <c r="F12" s="108" t="s">
        <v>31</v>
      </c>
      <c r="G12" s="14">
        <v>1</v>
      </c>
      <c r="H12" s="7"/>
    </row>
    <row r="13" s="1" customFormat="1" ht="22.5" customHeight="1" spans="1:8">
      <c r="A13" s="11">
        <v>9</v>
      </c>
      <c r="B13" s="109">
        <v>11853</v>
      </c>
      <c r="C13" s="109" t="s">
        <v>238</v>
      </c>
      <c r="D13" s="109" t="s">
        <v>239</v>
      </c>
      <c r="E13" s="109" t="s">
        <v>239</v>
      </c>
      <c r="F13" s="108" t="s">
        <v>31</v>
      </c>
      <c r="G13" s="14">
        <v>1</v>
      </c>
      <c r="H13" s="7"/>
    </row>
    <row r="14" s="1" customFormat="1" ht="22.5" customHeight="1" spans="1:8">
      <c r="A14" s="11">
        <v>10</v>
      </c>
      <c r="B14" s="109">
        <v>12290</v>
      </c>
      <c r="C14" s="109" t="s">
        <v>211</v>
      </c>
      <c r="D14" s="109" t="s">
        <v>212</v>
      </c>
      <c r="E14" s="109" t="s">
        <v>213</v>
      </c>
      <c r="F14" s="112" t="s">
        <v>31</v>
      </c>
      <c r="G14" s="14">
        <v>1</v>
      </c>
      <c r="H14" s="7"/>
    </row>
    <row r="15" s="1" customFormat="1" ht="22.5" customHeight="1" spans="1:8">
      <c r="A15" s="11">
        <v>11</v>
      </c>
      <c r="B15" s="109">
        <v>13385</v>
      </c>
      <c r="C15" s="109" t="s">
        <v>240</v>
      </c>
      <c r="D15" s="109" t="s">
        <v>241</v>
      </c>
      <c r="E15" s="109" t="s">
        <v>242</v>
      </c>
      <c r="F15" s="108" t="s">
        <v>31</v>
      </c>
      <c r="G15" s="14">
        <v>1</v>
      </c>
      <c r="H15" s="7"/>
    </row>
    <row r="16" s="1" customFormat="1" ht="22.5" customHeight="1" spans="1:8">
      <c r="A16" s="11">
        <v>12</v>
      </c>
      <c r="B16" s="109">
        <v>13401</v>
      </c>
      <c r="C16" s="109" t="s">
        <v>243</v>
      </c>
      <c r="D16" s="109" t="s">
        <v>244</v>
      </c>
      <c r="E16" s="109" t="s">
        <v>245</v>
      </c>
      <c r="F16" s="108" t="s">
        <v>31</v>
      </c>
      <c r="G16" s="14">
        <v>1</v>
      </c>
      <c r="H16" s="7"/>
    </row>
    <row r="17" s="1" customFormat="1" ht="22.5" customHeight="1" spans="1:8">
      <c r="A17" s="11">
        <v>13</v>
      </c>
      <c r="B17" s="109">
        <v>13688</v>
      </c>
      <c r="C17" s="109" t="s">
        <v>246</v>
      </c>
      <c r="D17" s="109" t="s">
        <v>247</v>
      </c>
      <c r="E17" s="109" t="s">
        <v>248</v>
      </c>
      <c r="F17" s="108" t="s">
        <v>31</v>
      </c>
      <c r="G17" s="14">
        <v>1</v>
      </c>
      <c r="H17" s="7"/>
    </row>
    <row r="18" s="1" customFormat="1" ht="22.5" customHeight="1" spans="1:8">
      <c r="A18" s="11">
        <v>14</v>
      </c>
      <c r="B18" s="109">
        <v>14446</v>
      </c>
      <c r="C18" s="109" t="s">
        <v>249</v>
      </c>
      <c r="D18" s="109" t="s">
        <v>250</v>
      </c>
      <c r="E18" s="109" t="s">
        <v>250</v>
      </c>
      <c r="F18" s="108" t="s">
        <v>31</v>
      </c>
      <c r="G18" s="14">
        <v>1</v>
      </c>
      <c r="H18" s="7"/>
    </row>
    <row r="19" s="1" customFormat="1" ht="22.5" customHeight="1" spans="1:8">
      <c r="A19" s="11">
        <v>15</v>
      </c>
      <c r="B19" s="109">
        <v>14577</v>
      </c>
      <c r="C19" s="109" t="s">
        <v>251</v>
      </c>
      <c r="D19" s="109" t="s">
        <v>252</v>
      </c>
      <c r="E19" s="109" t="s">
        <v>253</v>
      </c>
      <c r="F19" s="108" t="s">
        <v>31</v>
      </c>
      <c r="G19" s="14">
        <v>1</v>
      </c>
      <c r="H19" s="7"/>
    </row>
    <row r="20" s="1" customFormat="1" ht="22.5" customHeight="1" spans="1:8">
      <c r="A20" s="113">
        <v>16</v>
      </c>
      <c r="B20" s="109">
        <v>14904</v>
      </c>
      <c r="C20" s="109" t="s">
        <v>254</v>
      </c>
      <c r="D20" s="109" t="s">
        <v>255</v>
      </c>
      <c r="E20" s="109" t="s">
        <v>256</v>
      </c>
      <c r="F20" s="108" t="s">
        <v>31</v>
      </c>
      <c r="G20" s="14">
        <v>1</v>
      </c>
      <c r="H20" s="7"/>
    </row>
    <row r="21" s="1" customFormat="1" ht="22.5" customHeight="1" spans="1:8">
      <c r="A21" s="11">
        <v>17</v>
      </c>
      <c r="B21" s="109"/>
      <c r="C21" s="109"/>
      <c r="D21" s="109"/>
      <c r="E21" s="109"/>
      <c r="F21" s="108"/>
      <c r="G21" s="14"/>
      <c r="H21" s="7"/>
    </row>
    <row r="22" s="1" customFormat="1" ht="22.5" customHeight="1" spans="1:8">
      <c r="A22" s="11">
        <v>18</v>
      </c>
      <c r="B22" s="109"/>
      <c r="C22" s="109"/>
      <c r="D22" s="109"/>
      <c r="E22" s="109"/>
      <c r="F22" s="108"/>
      <c r="G22" s="14"/>
      <c r="H22" s="7"/>
    </row>
    <row r="23" s="1" customFormat="1" ht="22.5" customHeight="1" spans="1:8">
      <c r="A23" s="11">
        <v>19</v>
      </c>
      <c r="B23" s="109"/>
      <c r="C23" s="109"/>
      <c r="D23" s="109"/>
      <c r="E23" s="109"/>
      <c r="F23" s="108"/>
      <c r="G23" s="14"/>
      <c r="H23" s="7"/>
    </row>
    <row r="24" s="1" customFormat="1" ht="22.5" customHeight="1" spans="1:8">
      <c r="A24" s="11">
        <v>20</v>
      </c>
      <c r="B24" s="109"/>
      <c r="C24" s="109"/>
      <c r="D24" s="109"/>
      <c r="E24" s="109"/>
      <c r="F24" s="108"/>
      <c r="G24" s="14"/>
      <c r="H24" s="7"/>
    </row>
    <row r="25" s="1" customFormat="1" ht="22.5" customHeight="1" spans="1:8">
      <c r="A25" s="113">
        <v>21</v>
      </c>
      <c r="B25" s="109"/>
      <c r="C25" s="109"/>
      <c r="D25" s="109"/>
      <c r="E25" s="109"/>
      <c r="F25" s="108"/>
      <c r="G25" s="14"/>
      <c r="H25" s="7"/>
    </row>
    <row r="26" s="1" customFormat="1" ht="22.5" customHeight="1" spans="1:8">
      <c r="A26" s="11">
        <v>22</v>
      </c>
      <c r="B26" s="109"/>
      <c r="C26" s="109"/>
      <c r="D26" s="109"/>
      <c r="E26" s="109"/>
      <c r="F26" s="108"/>
      <c r="G26" s="14"/>
      <c r="H26" s="7"/>
    </row>
    <row r="27" s="1" customFormat="1" ht="22.5" customHeight="1" spans="1:8">
      <c r="A27" s="103"/>
      <c r="B27" s="104"/>
      <c r="C27" s="104"/>
      <c r="D27" s="104"/>
      <c r="E27" s="104"/>
      <c r="F27" s="104"/>
      <c r="G27" s="105"/>
      <c r="H27" s="23"/>
    </row>
    <row r="28" s="1" customFormat="1" ht="22.5" customHeight="1" spans="1:8">
      <c r="A28" s="103"/>
      <c r="B28" s="104"/>
      <c r="C28" s="104"/>
      <c r="D28" s="104"/>
      <c r="E28" s="104"/>
      <c r="F28" s="104"/>
      <c r="G28" s="104"/>
      <c r="H28" s="23"/>
    </row>
    <row r="29" s="1" customFormat="1" ht="22.5" customHeight="1" spans="1:7">
      <c r="A29" s="19" t="s">
        <v>47</v>
      </c>
      <c r="B29" s="20"/>
      <c r="C29" s="20"/>
      <c r="D29" s="20"/>
      <c r="E29" s="20"/>
      <c r="F29" s="20"/>
      <c r="G29" s="20"/>
    </row>
    <row r="30" s="1" customFormat="1" ht="22.5" customHeight="1" spans="1:8">
      <c r="A30" s="21" t="s">
        <v>48</v>
      </c>
      <c r="B30" s="22"/>
      <c r="C30" s="22"/>
      <c r="D30" s="22"/>
      <c r="E30" s="23"/>
      <c r="F30" s="24"/>
      <c r="G30" s="24"/>
      <c r="H30" s="7"/>
    </row>
    <row r="31" s="1" customFormat="1" ht="22.5" customHeight="1" spans="1:8">
      <c r="A31" s="7" t="s">
        <v>49</v>
      </c>
      <c r="B31" s="7" t="s">
        <v>50</v>
      </c>
      <c r="C31" s="7"/>
      <c r="D31" s="7"/>
      <c r="E31" s="7"/>
      <c r="F31" s="24"/>
      <c r="G31" s="24"/>
      <c r="H31" s="7"/>
    </row>
    <row r="32" s="1" customFormat="1" ht="22.5" customHeight="1" spans="1:8">
      <c r="A32" s="7"/>
      <c r="B32" s="7" t="s">
        <v>51</v>
      </c>
      <c r="C32" s="7"/>
      <c r="D32" s="7"/>
      <c r="E32" s="7"/>
      <c r="F32" s="24"/>
      <c r="G32" s="24"/>
      <c r="H32" s="7"/>
    </row>
    <row r="33" s="1" customFormat="1" ht="22.5" customHeight="1" spans="1:8">
      <c r="A33" s="25" t="s">
        <v>52</v>
      </c>
      <c r="B33" s="26" t="s">
        <v>53</v>
      </c>
      <c r="C33" s="27"/>
      <c r="D33" s="27"/>
      <c r="E33" s="28"/>
      <c r="F33" s="24"/>
      <c r="G33" s="24"/>
      <c r="H33" s="7"/>
    </row>
    <row r="34" s="1" customFormat="1" ht="22.5" customHeight="1" spans="1:8">
      <c r="A34" s="29"/>
      <c r="B34" s="30" t="s">
        <v>54</v>
      </c>
      <c r="C34" s="31"/>
      <c r="D34" s="31"/>
      <c r="E34" s="32"/>
      <c r="F34" s="24"/>
      <c r="G34" s="24"/>
      <c r="H34" s="7"/>
    </row>
    <row r="35" s="1" customFormat="1" ht="22.5" customHeight="1" spans="1:8">
      <c r="A35" s="17" t="s">
        <v>55</v>
      </c>
      <c r="B35" s="7" t="s">
        <v>56</v>
      </c>
      <c r="C35" s="7"/>
      <c r="D35" s="7"/>
      <c r="E35" s="7"/>
      <c r="F35" s="24"/>
      <c r="G35" s="24"/>
      <c r="H35" s="7"/>
    </row>
    <row r="36" s="1" customFormat="1" ht="22.5" customHeight="1" spans="1:8">
      <c r="A36" s="17"/>
      <c r="B36" s="7" t="s">
        <v>56</v>
      </c>
      <c r="C36" s="7"/>
      <c r="D36" s="7"/>
      <c r="E36" s="7"/>
      <c r="F36" s="24"/>
      <c r="G36" s="24"/>
      <c r="H36" s="7"/>
    </row>
    <row r="37" s="1" customFormat="1" ht="22.5" customHeight="1" spans="1:8">
      <c r="A37" s="17" t="s">
        <v>57</v>
      </c>
      <c r="B37" s="7" t="s">
        <v>58</v>
      </c>
      <c r="C37" s="7"/>
      <c r="D37" s="7"/>
      <c r="E37" s="7"/>
      <c r="F37" s="24"/>
      <c r="G37" s="24"/>
      <c r="H37" s="7"/>
    </row>
    <row r="38" s="1" customFormat="1" ht="22.5" customHeight="1" spans="1:8">
      <c r="A38" s="17"/>
      <c r="B38" s="7" t="s">
        <v>59</v>
      </c>
      <c r="C38" s="7"/>
      <c r="D38" s="7"/>
      <c r="E38" s="7"/>
      <c r="F38" s="24"/>
      <c r="G38" s="24"/>
      <c r="H38" s="7"/>
    </row>
    <row r="39" s="1" customFormat="1" ht="22.5" customHeight="1"/>
    <row r="40" s="1" customFormat="1" ht="22.5" customHeight="1" spans="1:5">
      <c r="A40" s="33" t="s">
        <v>60</v>
      </c>
      <c r="B40" s="7" t="s">
        <v>61</v>
      </c>
      <c r="C40" s="34">
        <v>1</v>
      </c>
      <c r="D40" s="7">
        <f>COUNTIF(F:F,B40)</f>
        <v>0</v>
      </c>
      <c r="E40" s="7">
        <f t="shared" ref="E40:E48" si="0">C40-D40</f>
        <v>1</v>
      </c>
    </row>
    <row r="41" s="1" customFormat="1" ht="22.5" customHeight="1" spans="1:5">
      <c r="A41" s="33" t="s">
        <v>60</v>
      </c>
      <c r="B41" s="7" t="s">
        <v>27</v>
      </c>
      <c r="C41" s="34">
        <v>971</v>
      </c>
      <c r="D41" s="7">
        <f>COUNTIF(F:F,B41)</f>
        <v>5</v>
      </c>
      <c r="E41" s="7">
        <f t="shared" si="0"/>
        <v>966</v>
      </c>
    </row>
    <row r="42" s="1" customFormat="1" ht="22.5" customHeight="1" spans="1:5">
      <c r="A42" s="33" t="s">
        <v>60</v>
      </c>
      <c r="B42" s="7" t="s">
        <v>21</v>
      </c>
      <c r="C42" s="35">
        <v>405</v>
      </c>
      <c r="D42" s="7">
        <f>COUNTIF(F:F,B42)</f>
        <v>2</v>
      </c>
      <c r="E42" s="7">
        <f t="shared" si="0"/>
        <v>403</v>
      </c>
    </row>
    <row r="43" s="1" customFormat="1" ht="22.5" customHeight="1" spans="1:5">
      <c r="A43" s="33" t="s">
        <v>60</v>
      </c>
      <c r="B43" s="17" t="s">
        <v>62</v>
      </c>
      <c r="C43" s="35">
        <v>82</v>
      </c>
      <c r="D43" s="7">
        <f>COUNTIF(F:F,"再就业")+COUNTIF(F:F,"小贷")</f>
        <v>0</v>
      </c>
      <c r="E43" s="7">
        <f t="shared" si="0"/>
        <v>82</v>
      </c>
    </row>
    <row r="44" s="1" customFormat="1" ht="22.5" customHeight="1" spans="1:5">
      <c r="A44" s="33" t="s">
        <v>60</v>
      </c>
      <c r="B44" s="17" t="s">
        <v>63</v>
      </c>
      <c r="C44" s="35">
        <v>1</v>
      </c>
      <c r="D44" s="7">
        <f>COUNTIF(F:F,B44)</f>
        <v>0</v>
      </c>
      <c r="E44" s="7">
        <f t="shared" si="0"/>
        <v>1</v>
      </c>
    </row>
    <row r="45" s="1" customFormat="1" ht="22.5" customHeight="1" spans="1:5">
      <c r="A45" s="33" t="s">
        <v>60</v>
      </c>
      <c r="B45" s="7" t="s">
        <v>64</v>
      </c>
      <c r="C45" s="35">
        <v>613</v>
      </c>
      <c r="D45" s="7">
        <f>COUNTIF(F:F,B45)</f>
        <v>0</v>
      </c>
      <c r="E45" s="7">
        <f t="shared" si="0"/>
        <v>613</v>
      </c>
    </row>
    <row r="46" s="1" customFormat="1" ht="22.5" customHeight="1" spans="1:5">
      <c r="A46" s="33" t="s">
        <v>60</v>
      </c>
      <c r="B46" s="7" t="s">
        <v>13</v>
      </c>
      <c r="C46" s="35">
        <v>919</v>
      </c>
      <c r="D46" s="7">
        <f>COUNTIF(F:F,B46)</f>
        <v>0</v>
      </c>
      <c r="E46" s="7">
        <f t="shared" si="0"/>
        <v>919</v>
      </c>
    </row>
    <row r="47" s="1" customFormat="1" ht="22.5" customHeight="1" spans="1:5">
      <c r="A47" s="33" t="s">
        <v>60</v>
      </c>
      <c r="B47" s="7" t="s">
        <v>31</v>
      </c>
      <c r="C47" s="35">
        <v>4498</v>
      </c>
      <c r="D47" s="7">
        <f>COUNTIF(F:F,B47)</f>
        <v>9</v>
      </c>
      <c r="E47" s="7">
        <f t="shared" si="0"/>
        <v>4489</v>
      </c>
    </row>
    <row r="48" s="1" customFormat="1" ht="22.5" customHeight="1" spans="1:5">
      <c r="A48" s="33" t="s">
        <v>60</v>
      </c>
      <c r="B48" s="7" t="s">
        <v>65</v>
      </c>
      <c r="C48" s="36">
        <v>42</v>
      </c>
      <c r="D48" s="7">
        <f>COUNTIF(F:F,B48)</f>
        <v>0</v>
      </c>
      <c r="E48" s="7">
        <f t="shared" si="0"/>
        <v>42</v>
      </c>
    </row>
    <row r="49" s="1" customFormat="1" ht="22.5" customHeight="1" spans="1:5">
      <c r="A49" s="37"/>
      <c r="B49" s="7"/>
      <c r="C49" s="7">
        <f>SUM(C40:C48)</f>
        <v>7532</v>
      </c>
      <c r="D49" s="7">
        <f>SUM(D40:D48)</f>
        <v>16</v>
      </c>
      <c r="E49" s="7">
        <f>SUM(E40:E48)</f>
        <v>7516</v>
      </c>
    </row>
    <row r="50" s="1" customFormat="1" ht="22.5" customHeight="1"/>
  </sheetData>
  <mergeCells count="15">
    <mergeCell ref="A1:G1"/>
    <mergeCell ref="A2:G2"/>
    <mergeCell ref="A3:G3"/>
    <mergeCell ref="B31:E31"/>
    <mergeCell ref="B32:E32"/>
    <mergeCell ref="B33:E33"/>
    <mergeCell ref="B34:E34"/>
    <mergeCell ref="B35:E35"/>
    <mergeCell ref="B36:E36"/>
    <mergeCell ref="B37:E37"/>
    <mergeCell ref="B38:E38"/>
    <mergeCell ref="A31:A32"/>
    <mergeCell ref="A33:A34"/>
    <mergeCell ref="A35:A36"/>
    <mergeCell ref="A37:A38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0"/>
  <sheetViews>
    <sheetView view="pageBreakPreview" zoomScaleNormal="100" topLeftCell="A31" workbookViewId="0">
      <selection activeCell="E40" sqref="E40:E48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10</v>
      </c>
    </row>
    <row r="5" s="1" customFormat="1" ht="21" customHeight="1" spans="1:8">
      <c r="A5" s="11">
        <v>1</v>
      </c>
      <c r="B5" s="109">
        <v>4709</v>
      </c>
      <c r="C5" s="109" t="s">
        <v>257</v>
      </c>
      <c r="D5" s="109" t="s">
        <v>258</v>
      </c>
      <c r="E5" s="109" t="s">
        <v>259</v>
      </c>
      <c r="F5" s="108" t="s">
        <v>64</v>
      </c>
      <c r="G5" s="14">
        <v>1</v>
      </c>
      <c r="H5" s="11"/>
    </row>
    <row r="6" s="1" customFormat="1" ht="22.5" customHeight="1" spans="1:8">
      <c r="A6" s="11">
        <v>2</v>
      </c>
      <c r="B6" s="75"/>
      <c r="C6" s="109"/>
      <c r="D6" s="75"/>
      <c r="E6" s="75"/>
      <c r="F6" s="112"/>
      <c r="G6" s="14"/>
      <c r="H6" s="7"/>
    </row>
    <row r="7" s="1" customFormat="1" ht="22.5" customHeight="1" spans="1:8">
      <c r="A7" s="11">
        <v>3</v>
      </c>
      <c r="B7" s="109"/>
      <c r="C7" s="109"/>
      <c r="D7" s="109"/>
      <c r="E7" s="109"/>
      <c r="F7" s="112"/>
      <c r="G7" s="14"/>
      <c r="H7" s="7"/>
    </row>
    <row r="8" s="1" customFormat="1" ht="22.5" customHeight="1" spans="1:8">
      <c r="A8" s="11">
        <v>4</v>
      </c>
      <c r="B8" s="73"/>
      <c r="C8" s="110"/>
      <c r="D8" s="74"/>
      <c r="E8" s="74"/>
      <c r="F8" s="112"/>
      <c r="G8" s="14"/>
      <c r="H8" s="7"/>
    </row>
    <row r="9" s="1" customFormat="1" ht="18.75" spans="1:8">
      <c r="A9" s="11">
        <v>5</v>
      </c>
      <c r="B9" s="75"/>
      <c r="C9" s="109"/>
      <c r="D9" s="75"/>
      <c r="E9" s="75"/>
      <c r="F9" s="108"/>
      <c r="G9" s="14"/>
      <c r="H9" s="7"/>
    </row>
    <row r="10" s="1" customFormat="1" ht="22.5" customHeight="1" spans="1:8">
      <c r="A10" s="11">
        <v>6</v>
      </c>
      <c r="B10" s="73"/>
      <c r="C10" s="110"/>
      <c r="D10" s="74"/>
      <c r="E10" s="74"/>
      <c r="F10" s="108"/>
      <c r="G10" s="14"/>
      <c r="H10" s="7"/>
    </row>
    <row r="11" s="1" customFormat="1" ht="22.5" customHeight="1" spans="1:8">
      <c r="A11" s="11">
        <v>7</v>
      </c>
      <c r="B11" s="75"/>
      <c r="C11" s="75"/>
      <c r="D11" s="75"/>
      <c r="E11" s="75"/>
      <c r="F11" s="108"/>
      <c r="G11" s="14"/>
      <c r="H11" s="7"/>
    </row>
    <row r="12" s="1" customFormat="1" ht="22.5" customHeight="1" spans="1:8">
      <c r="A12" s="11">
        <v>8</v>
      </c>
      <c r="B12" s="75"/>
      <c r="C12" s="75"/>
      <c r="D12" s="75"/>
      <c r="E12" s="75"/>
      <c r="F12" s="108"/>
      <c r="G12" s="14"/>
      <c r="H12" s="7"/>
    </row>
    <row r="13" s="1" customFormat="1" ht="22.5" customHeight="1" spans="1:8">
      <c r="A13" s="11">
        <v>9</v>
      </c>
      <c r="B13" s="75"/>
      <c r="C13" s="75"/>
      <c r="D13" s="75"/>
      <c r="E13" s="75"/>
      <c r="F13" s="108"/>
      <c r="G13" s="14"/>
      <c r="H13" s="7"/>
    </row>
    <row r="14" s="1" customFormat="1" ht="22.5" customHeight="1" spans="1:8">
      <c r="A14" s="11">
        <v>10</v>
      </c>
      <c r="B14" s="75"/>
      <c r="C14" s="75"/>
      <c r="D14" s="75"/>
      <c r="E14" s="75"/>
      <c r="F14" s="108"/>
      <c r="G14" s="14"/>
      <c r="H14" s="7"/>
    </row>
    <row r="15" s="1" customFormat="1" ht="22.5" customHeight="1" spans="1:8">
      <c r="A15" s="11">
        <v>11</v>
      </c>
      <c r="B15" s="109"/>
      <c r="C15" s="109"/>
      <c r="D15" s="109"/>
      <c r="E15" s="109"/>
      <c r="F15" s="108"/>
      <c r="G15" s="14"/>
      <c r="H15" s="7"/>
    </row>
    <row r="16" s="1" customFormat="1" ht="22.5" customHeight="1" spans="1:8">
      <c r="A16" s="11">
        <v>12</v>
      </c>
      <c r="B16" s="109"/>
      <c r="C16" s="109"/>
      <c r="D16" s="109"/>
      <c r="E16" s="109"/>
      <c r="F16" s="108"/>
      <c r="G16" s="14"/>
      <c r="H16" s="7"/>
    </row>
    <row r="17" s="1" customFormat="1" ht="22.5" customHeight="1" spans="1:8">
      <c r="A17" s="11">
        <v>13</v>
      </c>
      <c r="B17" s="109"/>
      <c r="C17" s="109"/>
      <c r="D17" s="109"/>
      <c r="E17" s="109"/>
      <c r="F17" s="108"/>
      <c r="G17" s="14"/>
      <c r="H17" s="7"/>
    </row>
    <row r="18" s="1" customFormat="1" ht="22.5" customHeight="1" spans="1:8">
      <c r="A18" s="11">
        <v>14</v>
      </c>
      <c r="B18" s="109"/>
      <c r="C18" s="109"/>
      <c r="D18" s="109"/>
      <c r="E18" s="109"/>
      <c r="F18" s="108"/>
      <c r="G18" s="14"/>
      <c r="H18" s="7"/>
    </row>
    <row r="19" s="1" customFormat="1" ht="22.5" customHeight="1" spans="1:8">
      <c r="A19" s="11">
        <v>15</v>
      </c>
      <c r="B19" s="109"/>
      <c r="C19" s="109"/>
      <c r="D19" s="109"/>
      <c r="E19" s="109"/>
      <c r="F19" s="108"/>
      <c r="G19" s="14"/>
      <c r="H19" s="7"/>
    </row>
    <row r="20" s="1" customFormat="1" ht="22.5" customHeight="1" spans="1:8">
      <c r="A20" s="113">
        <v>16</v>
      </c>
      <c r="B20" s="109"/>
      <c r="C20" s="109"/>
      <c r="D20" s="109"/>
      <c r="E20" s="109"/>
      <c r="F20" s="108"/>
      <c r="G20" s="14"/>
      <c r="H20" s="7"/>
    </row>
    <row r="21" s="1" customFormat="1" ht="22.5" customHeight="1" spans="1:8">
      <c r="A21" s="11">
        <v>17</v>
      </c>
      <c r="B21" s="109"/>
      <c r="C21" s="109"/>
      <c r="D21" s="109"/>
      <c r="E21" s="109"/>
      <c r="F21" s="108"/>
      <c r="G21" s="14"/>
      <c r="H21" s="7"/>
    </row>
    <row r="22" s="1" customFormat="1" ht="22.5" customHeight="1" spans="1:8">
      <c r="A22" s="11">
        <v>18</v>
      </c>
      <c r="B22" s="109"/>
      <c r="C22" s="109"/>
      <c r="D22" s="109"/>
      <c r="E22" s="109"/>
      <c r="F22" s="108"/>
      <c r="G22" s="14"/>
      <c r="H22" s="7"/>
    </row>
    <row r="23" s="1" customFormat="1" ht="22.5" customHeight="1" spans="1:8">
      <c r="A23" s="11">
        <v>19</v>
      </c>
      <c r="B23" s="109"/>
      <c r="C23" s="109"/>
      <c r="D23" s="109"/>
      <c r="E23" s="109"/>
      <c r="F23" s="108"/>
      <c r="G23" s="14"/>
      <c r="H23" s="7"/>
    </row>
    <row r="24" s="1" customFormat="1" ht="22.5" customHeight="1" spans="1:8">
      <c r="A24" s="11">
        <v>20</v>
      </c>
      <c r="B24" s="109"/>
      <c r="C24" s="109"/>
      <c r="D24" s="109"/>
      <c r="E24" s="109"/>
      <c r="F24" s="108"/>
      <c r="G24" s="14"/>
      <c r="H24" s="7"/>
    </row>
    <row r="25" s="1" customFormat="1" ht="22.5" customHeight="1" spans="1:8">
      <c r="A25" s="113">
        <v>21</v>
      </c>
      <c r="B25" s="109"/>
      <c r="C25" s="109"/>
      <c r="D25" s="109"/>
      <c r="E25" s="109"/>
      <c r="F25" s="108"/>
      <c r="G25" s="14"/>
      <c r="H25" s="7"/>
    </row>
    <row r="26" s="1" customFormat="1" ht="22.5" customHeight="1" spans="1:8">
      <c r="A26" s="11">
        <v>22</v>
      </c>
      <c r="B26" s="109"/>
      <c r="C26" s="109"/>
      <c r="D26" s="109"/>
      <c r="E26" s="109"/>
      <c r="F26" s="108"/>
      <c r="G26" s="14"/>
      <c r="H26" s="7"/>
    </row>
    <row r="27" s="1" customFormat="1" ht="22.5" customHeight="1" spans="1:8">
      <c r="A27" s="103"/>
      <c r="B27" s="104"/>
      <c r="C27" s="104"/>
      <c r="D27" s="104"/>
      <c r="E27" s="104"/>
      <c r="F27" s="104"/>
      <c r="G27" s="105"/>
      <c r="H27" s="23"/>
    </row>
    <row r="28" s="1" customFormat="1" ht="22.5" customHeight="1" spans="1:8">
      <c r="A28" s="103"/>
      <c r="B28" s="104"/>
      <c r="C28" s="104"/>
      <c r="D28" s="104"/>
      <c r="E28" s="104"/>
      <c r="F28" s="104"/>
      <c r="G28" s="104"/>
      <c r="H28" s="23"/>
    </row>
    <row r="29" s="1" customFormat="1" ht="22.5" customHeight="1" spans="1:7">
      <c r="A29" s="19" t="s">
        <v>47</v>
      </c>
      <c r="B29" s="20"/>
      <c r="C29" s="20"/>
      <c r="D29" s="20"/>
      <c r="E29" s="20"/>
      <c r="F29" s="20"/>
      <c r="G29" s="20"/>
    </row>
    <row r="30" s="1" customFormat="1" ht="22.5" customHeight="1" spans="1:8">
      <c r="A30" s="21" t="s">
        <v>48</v>
      </c>
      <c r="B30" s="22"/>
      <c r="C30" s="22"/>
      <c r="D30" s="22"/>
      <c r="E30" s="23"/>
      <c r="F30" s="24"/>
      <c r="G30" s="24"/>
      <c r="H30" s="7"/>
    </row>
    <row r="31" s="1" customFormat="1" ht="22.5" customHeight="1" spans="1:8">
      <c r="A31" s="7" t="s">
        <v>49</v>
      </c>
      <c r="B31" s="7" t="s">
        <v>50</v>
      </c>
      <c r="C31" s="7"/>
      <c r="D31" s="7"/>
      <c r="E31" s="7"/>
      <c r="F31" s="24"/>
      <c r="G31" s="24"/>
      <c r="H31" s="7"/>
    </row>
    <row r="32" s="1" customFormat="1" ht="22.5" customHeight="1" spans="1:8">
      <c r="A32" s="7"/>
      <c r="B32" s="7" t="s">
        <v>51</v>
      </c>
      <c r="C32" s="7"/>
      <c r="D32" s="7"/>
      <c r="E32" s="7"/>
      <c r="F32" s="24"/>
      <c r="G32" s="24"/>
      <c r="H32" s="7"/>
    </row>
    <row r="33" s="1" customFormat="1" ht="22.5" customHeight="1" spans="1:8">
      <c r="A33" s="25" t="s">
        <v>52</v>
      </c>
      <c r="B33" s="26" t="s">
        <v>53</v>
      </c>
      <c r="C33" s="27"/>
      <c r="D33" s="27"/>
      <c r="E33" s="28"/>
      <c r="F33" s="24"/>
      <c r="G33" s="24"/>
      <c r="H33" s="7"/>
    </row>
    <row r="34" s="1" customFormat="1" ht="22.5" customHeight="1" spans="1:8">
      <c r="A34" s="29"/>
      <c r="B34" s="30" t="s">
        <v>54</v>
      </c>
      <c r="C34" s="31"/>
      <c r="D34" s="31"/>
      <c r="E34" s="32"/>
      <c r="F34" s="24"/>
      <c r="G34" s="24"/>
      <c r="H34" s="7"/>
    </row>
    <row r="35" s="1" customFormat="1" ht="22.5" customHeight="1" spans="1:8">
      <c r="A35" s="17" t="s">
        <v>55</v>
      </c>
      <c r="B35" s="7" t="s">
        <v>56</v>
      </c>
      <c r="C35" s="7"/>
      <c r="D35" s="7"/>
      <c r="E35" s="7"/>
      <c r="F35" s="24"/>
      <c r="G35" s="24"/>
      <c r="H35" s="7"/>
    </row>
    <row r="36" s="1" customFormat="1" ht="22.5" customHeight="1" spans="1:8">
      <c r="A36" s="17"/>
      <c r="B36" s="7" t="s">
        <v>56</v>
      </c>
      <c r="C36" s="7"/>
      <c r="D36" s="7"/>
      <c r="E36" s="7"/>
      <c r="F36" s="24"/>
      <c r="G36" s="24"/>
      <c r="H36" s="7"/>
    </row>
    <row r="37" s="1" customFormat="1" ht="22.5" customHeight="1" spans="1:8">
      <c r="A37" s="17" t="s">
        <v>57</v>
      </c>
      <c r="B37" s="7" t="s">
        <v>58</v>
      </c>
      <c r="C37" s="7"/>
      <c r="D37" s="7"/>
      <c r="E37" s="7"/>
      <c r="F37" s="24"/>
      <c r="G37" s="24"/>
      <c r="H37" s="7"/>
    </row>
    <row r="38" s="1" customFormat="1" ht="22.5" customHeight="1" spans="1:8">
      <c r="A38" s="17"/>
      <c r="B38" s="7" t="s">
        <v>59</v>
      </c>
      <c r="C38" s="7"/>
      <c r="D38" s="7"/>
      <c r="E38" s="7"/>
      <c r="F38" s="24"/>
      <c r="G38" s="24"/>
      <c r="H38" s="7"/>
    </row>
    <row r="39" s="1" customFormat="1" ht="22.5" customHeight="1"/>
    <row r="40" s="1" customFormat="1" ht="22.5" customHeight="1" spans="1:5">
      <c r="A40" s="33" t="s">
        <v>60</v>
      </c>
      <c r="B40" s="7" t="s">
        <v>61</v>
      </c>
      <c r="C40" s="34">
        <v>1</v>
      </c>
      <c r="D40" s="7">
        <f>COUNTIF(F:F,B40)</f>
        <v>0</v>
      </c>
      <c r="E40" s="7">
        <f t="shared" ref="E40:E48" si="0">C40-D40</f>
        <v>1</v>
      </c>
    </row>
    <row r="41" s="1" customFormat="1" ht="22.5" customHeight="1" spans="1:5">
      <c r="A41" s="33" t="s">
        <v>60</v>
      </c>
      <c r="B41" s="7" t="s">
        <v>27</v>
      </c>
      <c r="C41" s="34">
        <v>971</v>
      </c>
      <c r="D41" s="7">
        <f>COUNTIF(F:F,B41)</f>
        <v>0</v>
      </c>
      <c r="E41" s="7">
        <f t="shared" si="0"/>
        <v>971</v>
      </c>
    </row>
    <row r="42" s="1" customFormat="1" ht="22.5" customHeight="1" spans="1:5">
      <c r="A42" s="33" t="s">
        <v>60</v>
      </c>
      <c r="B42" s="7" t="s">
        <v>21</v>
      </c>
      <c r="C42" s="35">
        <v>405</v>
      </c>
      <c r="D42" s="7">
        <f>COUNTIF(F:F,B42)</f>
        <v>0</v>
      </c>
      <c r="E42" s="7">
        <f t="shared" si="0"/>
        <v>405</v>
      </c>
    </row>
    <row r="43" s="1" customFormat="1" ht="22.5" customHeight="1" spans="1:5">
      <c r="A43" s="33" t="s">
        <v>60</v>
      </c>
      <c r="B43" s="17" t="s">
        <v>62</v>
      </c>
      <c r="C43" s="35">
        <v>82</v>
      </c>
      <c r="D43" s="7">
        <f>COUNTIF(F:F,"再就业")+COUNTIF(F:F,"小贷")</f>
        <v>0</v>
      </c>
      <c r="E43" s="7">
        <f t="shared" si="0"/>
        <v>82</v>
      </c>
    </row>
    <row r="44" s="1" customFormat="1" ht="22.5" customHeight="1" spans="1:5">
      <c r="A44" s="33" t="s">
        <v>60</v>
      </c>
      <c r="B44" s="17" t="s">
        <v>63</v>
      </c>
      <c r="C44" s="35">
        <v>1</v>
      </c>
      <c r="D44" s="7">
        <f>COUNTIF(F:F,B44)</f>
        <v>0</v>
      </c>
      <c r="E44" s="7">
        <f t="shared" si="0"/>
        <v>1</v>
      </c>
    </row>
    <row r="45" s="1" customFormat="1" ht="22.5" customHeight="1" spans="1:5">
      <c r="A45" s="33" t="s">
        <v>60</v>
      </c>
      <c r="B45" s="7" t="s">
        <v>64</v>
      </c>
      <c r="C45" s="35">
        <v>614</v>
      </c>
      <c r="D45" s="7">
        <f>COUNTIF(F:F,B45)</f>
        <v>1</v>
      </c>
      <c r="E45" s="7">
        <f t="shared" si="0"/>
        <v>613</v>
      </c>
    </row>
    <row r="46" s="1" customFormat="1" ht="22.5" customHeight="1" spans="1:5">
      <c r="A46" s="33" t="s">
        <v>60</v>
      </c>
      <c r="B46" s="7" t="s">
        <v>13</v>
      </c>
      <c r="C46" s="35">
        <v>919</v>
      </c>
      <c r="D46" s="7">
        <f>COUNTIF(F:F,B46)</f>
        <v>0</v>
      </c>
      <c r="E46" s="7">
        <f t="shared" si="0"/>
        <v>919</v>
      </c>
    </row>
    <row r="47" s="1" customFormat="1" ht="22.5" customHeight="1" spans="1:5">
      <c r="A47" s="33" t="s">
        <v>60</v>
      </c>
      <c r="B47" s="7" t="s">
        <v>31</v>
      </c>
      <c r="C47" s="35">
        <v>4498</v>
      </c>
      <c r="D47" s="7">
        <f>COUNTIF(F:F,B47)</f>
        <v>0</v>
      </c>
      <c r="E47" s="7">
        <f t="shared" si="0"/>
        <v>4498</v>
      </c>
    </row>
    <row r="48" s="1" customFormat="1" ht="22.5" customHeight="1" spans="1:5">
      <c r="A48" s="33" t="s">
        <v>60</v>
      </c>
      <c r="B48" s="7" t="s">
        <v>65</v>
      </c>
      <c r="C48" s="36">
        <v>42</v>
      </c>
      <c r="D48" s="7">
        <f>COUNTIF(F:F,B48)</f>
        <v>0</v>
      </c>
      <c r="E48" s="7">
        <f t="shared" si="0"/>
        <v>42</v>
      </c>
    </row>
    <row r="49" s="1" customFormat="1" ht="22.5" customHeight="1" spans="1:5">
      <c r="A49" s="37"/>
      <c r="B49" s="7"/>
      <c r="C49" s="7">
        <f>SUM(C40:C48)</f>
        <v>7533</v>
      </c>
      <c r="D49" s="7">
        <f>SUM(D40:D48)</f>
        <v>1</v>
      </c>
      <c r="E49" s="7">
        <f>SUM(E40:E48)</f>
        <v>7532</v>
      </c>
    </row>
    <row r="50" s="1" customFormat="1" ht="22.5" customHeight="1"/>
  </sheetData>
  <mergeCells count="15">
    <mergeCell ref="A1:G1"/>
    <mergeCell ref="A2:G2"/>
    <mergeCell ref="A3:G3"/>
    <mergeCell ref="B31:E31"/>
    <mergeCell ref="B32:E32"/>
    <mergeCell ref="B33:E33"/>
    <mergeCell ref="B34:E34"/>
    <mergeCell ref="B35:E35"/>
    <mergeCell ref="B36:E36"/>
    <mergeCell ref="B37:E37"/>
    <mergeCell ref="B38:E38"/>
    <mergeCell ref="A31:A32"/>
    <mergeCell ref="A33:A34"/>
    <mergeCell ref="A35:A36"/>
    <mergeCell ref="A37:A38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pageSetUpPr fitToPage="1"/>
  </sheetPr>
  <dimension ref="A1:H50"/>
  <sheetViews>
    <sheetView view="pageBreakPreview" zoomScaleNormal="100" topLeftCell="A34" workbookViewId="0">
      <selection activeCell="G42" sqref="G42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10</v>
      </c>
    </row>
    <row r="5" s="1" customFormat="1" ht="21" customHeight="1" spans="1:8">
      <c r="A5" s="11">
        <v>1</v>
      </c>
      <c r="B5" s="109">
        <v>4589</v>
      </c>
      <c r="C5" s="109" t="s">
        <v>260</v>
      </c>
      <c r="D5" s="109" t="s">
        <v>261</v>
      </c>
      <c r="E5" s="109" t="s">
        <v>261</v>
      </c>
      <c r="F5" s="108" t="s">
        <v>21</v>
      </c>
      <c r="G5" s="14">
        <v>1</v>
      </c>
      <c r="H5" s="11"/>
    </row>
    <row r="6" s="1" customFormat="1" ht="22.5" customHeight="1" spans="1:8">
      <c r="A6" s="11">
        <v>2</v>
      </c>
      <c r="B6" s="75">
        <v>4860</v>
      </c>
      <c r="C6" s="109" t="s">
        <v>262</v>
      </c>
      <c r="D6" s="75" t="s">
        <v>263</v>
      </c>
      <c r="E6" s="75" t="s">
        <v>264</v>
      </c>
      <c r="F6" s="112" t="s">
        <v>27</v>
      </c>
      <c r="G6" s="14">
        <v>1</v>
      </c>
      <c r="H6" s="7"/>
    </row>
    <row r="7" s="1" customFormat="1" ht="22.5" customHeight="1" spans="1:8">
      <c r="A7" s="11">
        <v>3</v>
      </c>
      <c r="B7" s="75">
        <v>4181</v>
      </c>
      <c r="C7" s="109" t="s">
        <v>265</v>
      </c>
      <c r="D7" s="75" t="s">
        <v>266</v>
      </c>
      <c r="E7" s="75" t="s">
        <v>267</v>
      </c>
      <c r="F7" s="108" t="s">
        <v>268</v>
      </c>
      <c r="G7" s="14">
        <v>1</v>
      </c>
      <c r="H7" s="7"/>
    </row>
    <row r="8" s="1" customFormat="1" ht="22.5" customHeight="1" spans="1:8">
      <c r="A8" s="11">
        <v>4</v>
      </c>
      <c r="B8" s="75">
        <v>4706</v>
      </c>
      <c r="C8" s="109" t="s">
        <v>269</v>
      </c>
      <c r="D8" s="75" t="s">
        <v>270</v>
      </c>
      <c r="E8" s="75" t="s">
        <v>270</v>
      </c>
      <c r="F8" s="112" t="s">
        <v>64</v>
      </c>
      <c r="G8" s="14">
        <v>1</v>
      </c>
      <c r="H8" s="7"/>
    </row>
    <row r="9" s="1" customFormat="1" ht="18.75" spans="1:8">
      <c r="A9" s="11">
        <v>5</v>
      </c>
      <c r="B9" s="75">
        <v>9669</v>
      </c>
      <c r="C9" s="109" t="s">
        <v>271</v>
      </c>
      <c r="D9" s="75" t="s">
        <v>272</v>
      </c>
      <c r="E9" s="75" t="s">
        <v>272</v>
      </c>
      <c r="F9" s="112" t="s">
        <v>31</v>
      </c>
      <c r="G9" s="14">
        <v>1</v>
      </c>
      <c r="H9" s="7"/>
    </row>
    <row r="10" s="1" customFormat="1" ht="22.5" customHeight="1" spans="1:8">
      <c r="A10" s="11">
        <v>6</v>
      </c>
      <c r="B10" s="75">
        <v>10618</v>
      </c>
      <c r="C10" s="75" t="s">
        <v>273</v>
      </c>
      <c r="D10" s="75" t="s">
        <v>274</v>
      </c>
      <c r="E10" s="75" t="s">
        <v>275</v>
      </c>
      <c r="F10" s="112" t="s">
        <v>31</v>
      </c>
      <c r="G10" s="14">
        <v>1</v>
      </c>
      <c r="H10" s="7"/>
    </row>
    <row r="11" s="1" customFormat="1" ht="22.5" customHeight="1" spans="1:8">
      <c r="A11" s="11">
        <v>7</v>
      </c>
      <c r="B11" s="73">
        <v>13724</v>
      </c>
      <c r="C11" s="73" t="s">
        <v>276</v>
      </c>
      <c r="D11" s="74" t="s">
        <v>277</v>
      </c>
      <c r="E11" s="74" t="s">
        <v>278</v>
      </c>
      <c r="F11" s="112" t="s">
        <v>31</v>
      </c>
      <c r="G11" s="14">
        <v>1</v>
      </c>
      <c r="H11" s="7"/>
    </row>
    <row r="12" s="1" customFormat="1" ht="22.5" customHeight="1" spans="1:8">
      <c r="A12" s="11">
        <v>8</v>
      </c>
      <c r="B12" s="73"/>
      <c r="C12" s="73"/>
      <c r="D12" s="74"/>
      <c r="E12" s="74"/>
      <c r="F12" s="112"/>
      <c r="G12" s="14">
        <v>1</v>
      </c>
      <c r="H12" s="7"/>
    </row>
    <row r="13" s="1" customFormat="1" ht="22.5" customHeight="1" spans="1:8">
      <c r="A13" s="11">
        <v>9</v>
      </c>
      <c r="B13" s="73"/>
      <c r="C13" s="73"/>
      <c r="D13" s="74"/>
      <c r="E13" s="74"/>
      <c r="F13" s="112"/>
      <c r="G13" s="14">
        <v>1</v>
      </c>
      <c r="H13" s="7"/>
    </row>
    <row r="14" s="1" customFormat="1" ht="22.5" customHeight="1" spans="1:8">
      <c r="A14" s="11">
        <v>10</v>
      </c>
      <c r="B14" s="75"/>
      <c r="C14" s="75"/>
      <c r="D14" s="75"/>
      <c r="E14" s="75"/>
      <c r="F14" s="108"/>
      <c r="G14" s="14">
        <v>1</v>
      </c>
      <c r="H14" s="7"/>
    </row>
    <row r="15" s="1" customFormat="1" ht="22.5" customHeight="1" spans="1:8">
      <c r="A15" s="11">
        <v>11</v>
      </c>
      <c r="B15" s="109"/>
      <c r="C15" s="109"/>
      <c r="D15" s="109"/>
      <c r="E15" s="109"/>
      <c r="F15" s="108"/>
      <c r="G15" s="14">
        <v>1</v>
      </c>
      <c r="H15" s="7"/>
    </row>
    <row r="16" s="1" customFormat="1" ht="22.5" customHeight="1" spans="1:8">
      <c r="A16" s="11">
        <v>12</v>
      </c>
      <c r="B16" s="109"/>
      <c r="C16" s="109"/>
      <c r="D16" s="109"/>
      <c r="E16" s="109"/>
      <c r="F16" s="108"/>
      <c r="G16" s="14">
        <v>1</v>
      </c>
      <c r="H16" s="7"/>
    </row>
    <row r="17" s="1" customFormat="1" ht="22.5" customHeight="1" spans="1:8">
      <c r="A17" s="11">
        <v>13</v>
      </c>
      <c r="B17" s="109"/>
      <c r="C17" s="109"/>
      <c r="D17" s="109"/>
      <c r="E17" s="109"/>
      <c r="F17" s="108"/>
      <c r="G17" s="14">
        <v>1</v>
      </c>
      <c r="H17" s="7"/>
    </row>
    <row r="18" s="1" customFormat="1" ht="22.5" customHeight="1" spans="1:8">
      <c r="A18" s="11">
        <v>14</v>
      </c>
      <c r="B18" s="109"/>
      <c r="C18" s="109"/>
      <c r="D18" s="109"/>
      <c r="E18" s="109"/>
      <c r="F18" s="108"/>
      <c r="G18" s="14">
        <v>1</v>
      </c>
      <c r="H18" s="7"/>
    </row>
    <row r="19" s="1" customFormat="1" ht="22.5" customHeight="1" spans="1:8">
      <c r="A19" s="11">
        <v>15</v>
      </c>
      <c r="B19" s="109"/>
      <c r="C19" s="109"/>
      <c r="D19" s="109"/>
      <c r="E19" s="109"/>
      <c r="F19" s="108"/>
      <c r="G19" s="14">
        <v>1</v>
      </c>
      <c r="H19" s="7"/>
    </row>
    <row r="20" s="1" customFormat="1" ht="22.5" customHeight="1" spans="1:8">
      <c r="A20" s="113">
        <v>16</v>
      </c>
      <c r="B20" s="109"/>
      <c r="C20" s="109"/>
      <c r="D20" s="109"/>
      <c r="E20" s="109"/>
      <c r="F20" s="108"/>
      <c r="G20" s="14">
        <v>1</v>
      </c>
      <c r="H20" s="7"/>
    </row>
    <row r="21" s="1" customFormat="1" ht="22.5" customHeight="1" spans="1:8">
      <c r="A21" s="11">
        <v>17</v>
      </c>
      <c r="B21" s="109"/>
      <c r="C21" s="109"/>
      <c r="D21" s="109"/>
      <c r="E21" s="109"/>
      <c r="F21" s="108"/>
      <c r="G21" s="14">
        <v>1</v>
      </c>
      <c r="H21" s="7"/>
    </row>
    <row r="22" s="1" customFormat="1" ht="22.5" customHeight="1" spans="1:8">
      <c r="A22" s="11">
        <v>18</v>
      </c>
      <c r="B22" s="109"/>
      <c r="C22" s="109"/>
      <c r="D22" s="109"/>
      <c r="E22" s="109"/>
      <c r="F22" s="108"/>
      <c r="G22" s="14">
        <v>1</v>
      </c>
      <c r="H22" s="7"/>
    </row>
    <row r="23" s="1" customFormat="1" ht="22.5" customHeight="1" spans="1:8">
      <c r="A23" s="11">
        <v>19</v>
      </c>
      <c r="B23" s="109"/>
      <c r="C23" s="109"/>
      <c r="D23" s="109"/>
      <c r="E23" s="109"/>
      <c r="F23" s="108"/>
      <c r="G23" s="14">
        <v>1</v>
      </c>
      <c r="H23" s="7"/>
    </row>
    <row r="24" s="1" customFormat="1" ht="22.5" customHeight="1" spans="1:8">
      <c r="A24" s="11">
        <v>20</v>
      </c>
      <c r="B24" s="109"/>
      <c r="C24" s="109"/>
      <c r="D24" s="109"/>
      <c r="E24" s="109"/>
      <c r="F24" s="108"/>
      <c r="G24" s="14">
        <v>1</v>
      </c>
      <c r="H24" s="7"/>
    </row>
    <row r="25" s="1" customFormat="1" ht="22.5" customHeight="1" spans="1:8">
      <c r="A25" s="113">
        <v>21</v>
      </c>
      <c r="B25" s="109"/>
      <c r="C25" s="109"/>
      <c r="D25" s="109"/>
      <c r="E25" s="109"/>
      <c r="F25" s="108"/>
      <c r="G25" s="14">
        <v>1</v>
      </c>
      <c r="H25" s="7"/>
    </row>
    <row r="26" s="1" customFormat="1" ht="22.5" customHeight="1" spans="1:8">
      <c r="A26" s="11">
        <v>22</v>
      </c>
      <c r="B26" s="109"/>
      <c r="C26" s="109"/>
      <c r="D26" s="109"/>
      <c r="E26" s="109"/>
      <c r="F26" s="108"/>
      <c r="G26" s="14">
        <v>1</v>
      </c>
      <c r="H26" s="7"/>
    </row>
    <row r="27" s="1" customFormat="1" ht="22.5" customHeight="1" spans="1:8">
      <c r="A27" s="103"/>
      <c r="B27" s="104"/>
      <c r="C27" s="104"/>
      <c r="D27" s="104"/>
      <c r="E27" s="104"/>
      <c r="F27" s="104"/>
      <c r="G27" s="105"/>
      <c r="H27" s="23"/>
    </row>
    <row r="28" s="1" customFormat="1" ht="22.5" customHeight="1" spans="1:8">
      <c r="A28" s="103"/>
      <c r="B28" s="104"/>
      <c r="C28" s="104"/>
      <c r="D28" s="104"/>
      <c r="E28" s="104"/>
      <c r="F28" s="104"/>
      <c r="G28" s="104"/>
      <c r="H28" s="23"/>
    </row>
    <row r="29" s="1" customFormat="1" ht="22.5" customHeight="1" spans="1:7">
      <c r="A29" s="19" t="s">
        <v>47</v>
      </c>
      <c r="B29" s="20"/>
      <c r="C29" s="20"/>
      <c r="D29" s="20"/>
      <c r="E29" s="20"/>
      <c r="F29" s="20"/>
      <c r="G29" s="20"/>
    </row>
    <row r="30" s="1" customFormat="1" ht="22.5" customHeight="1" spans="1:8">
      <c r="A30" s="21" t="s">
        <v>48</v>
      </c>
      <c r="B30" s="22"/>
      <c r="C30" s="22"/>
      <c r="D30" s="22"/>
      <c r="E30" s="23"/>
      <c r="F30" s="24"/>
      <c r="G30" s="24"/>
      <c r="H30" s="7"/>
    </row>
    <row r="31" s="1" customFormat="1" ht="22.5" customHeight="1" spans="1:8">
      <c r="A31" s="7" t="s">
        <v>49</v>
      </c>
      <c r="B31" s="7" t="s">
        <v>50</v>
      </c>
      <c r="C31" s="7"/>
      <c r="D31" s="7"/>
      <c r="E31" s="7"/>
      <c r="F31" s="24"/>
      <c r="G31" s="24"/>
      <c r="H31" s="7"/>
    </row>
    <row r="32" s="1" customFormat="1" ht="22.5" customHeight="1" spans="1:8">
      <c r="A32" s="7"/>
      <c r="B32" s="7" t="s">
        <v>51</v>
      </c>
      <c r="C32" s="7"/>
      <c r="D32" s="7"/>
      <c r="E32" s="7"/>
      <c r="F32" s="24"/>
      <c r="G32" s="24"/>
      <c r="H32" s="7"/>
    </row>
    <row r="33" s="1" customFormat="1" ht="22.5" customHeight="1" spans="1:8">
      <c r="A33" s="25" t="s">
        <v>52</v>
      </c>
      <c r="B33" s="26" t="s">
        <v>53</v>
      </c>
      <c r="C33" s="27"/>
      <c r="D33" s="27"/>
      <c r="E33" s="28"/>
      <c r="F33" s="24"/>
      <c r="G33" s="24"/>
      <c r="H33" s="7"/>
    </row>
    <row r="34" s="1" customFormat="1" ht="22.5" customHeight="1" spans="1:8">
      <c r="A34" s="29"/>
      <c r="B34" s="30" t="s">
        <v>54</v>
      </c>
      <c r="C34" s="31"/>
      <c r="D34" s="31"/>
      <c r="E34" s="32"/>
      <c r="F34" s="24"/>
      <c r="G34" s="24"/>
      <c r="H34" s="7"/>
    </row>
    <row r="35" s="1" customFormat="1" ht="22.5" customHeight="1" spans="1:8">
      <c r="A35" s="17" t="s">
        <v>55</v>
      </c>
      <c r="B35" s="7" t="s">
        <v>56</v>
      </c>
      <c r="C35" s="7"/>
      <c r="D35" s="7"/>
      <c r="E35" s="7"/>
      <c r="F35" s="24"/>
      <c r="G35" s="24"/>
      <c r="H35" s="7"/>
    </row>
    <row r="36" s="1" customFormat="1" ht="22.5" customHeight="1" spans="1:8">
      <c r="A36" s="17"/>
      <c r="B36" s="7" t="s">
        <v>56</v>
      </c>
      <c r="C36" s="7"/>
      <c r="D36" s="7"/>
      <c r="E36" s="7"/>
      <c r="F36" s="24"/>
      <c r="G36" s="24"/>
      <c r="H36" s="7"/>
    </row>
    <row r="37" s="1" customFormat="1" ht="22.5" customHeight="1" spans="1:8">
      <c r="A37" s="17" t="s">
        <v>57</v>
      </c>
      <c r="B37" s="7" t="s">
        <v>58</v>
      </c>
      <c r="C37" s="7"/>
      <c r="D37" s="7"/>
      <c r="E37" s="7"/>
      <c r="F37" s="24"/>
      <c r="G37" s="24"/>
      <c r="H37" s="7"/>
    </row>
    <row r="38" s="1" customFormat="1" ht="22.5" customHeight="1" spans="1:8">
      <c r="A38" s="17"/>
      <c r="B38" s="7" t="s">
        <v>59</v>
      </c>
      <c r="C38" s="7"/>
      <c r="D38" s="7"/>
      <c r="E38" s="7"/>
      <c r="F38" s="24"/>
      <c r="G38" s="24"/>
      <c r="H38" s="7"/>
    </row>
    <row r="39" s="1" customFormat="1" ht="22.5" customHeight="1"/>
    <row r="40" s="1" customFormat="1" ht="22.5" customHeight="1" spans="1:5">
      <c r="A40" s="33" t="s">
        <v>60</v>
      </c>
      <c r="B40" s="7" t="s">
        <v>61</v>
      </c>
      <c r="C40" s="34">
        <v>1</v>
      </c>
      <c r="D40" s="7">
        <f>COUNTIF(F:F,B40)</f>
        <v>0</v>
      </c>
      <c r="E40" s="7">
        <f t="shared" ref="E40:E48" si="0">C40-D40</f>
        <v>1</v>
      </c>
    </row>
    <row r="41" s="1" customFormat="1" ht="22.5" customHeight="1" spans="1:5">
      <c r="A41" s="33" t="s">
        <v>60</v>
      </c>
      <c r="B41" s="7" t="s">
        <v>27</v>
      </c>
      <c r="C41" s="34">
        <v>972</v>
      </c>
      <c r="D41" s="7">
        <f>COUNTIF(F:F,B41)</f>
        <v>1</v>
      </c>
      <c r="E41" s="7">
        <f t="shared" si="0"/>
        <v>971</v>
      </c>
    </row>
    <row r="42" s="1" customFormat="1" ht="22.5" customHeight="1" spans="1:5">
      <c r="A42" s="33" t="s">
        <v>60</v>
      </c>
      <c r="B42" s="7" t="s">
        <v>21</v>
      </c>
      <c r="C42" s="35">
        <v>406</v>
      </c>
      <c r="D42" s="7">
        <f>COUNTIF(F:F,B42)</f>
        <v>1</v>
      </c>
      <c r="E42" s="7">
        <f t="shared" si="0"/>
        <v>405</v>
      </c>
    </row>
    <row r="43" s="1" customFormat="1" ht="22.5" customHeight="1" spans="1:5">
      <c r="A43" s="33" t="s">
        <v>60</v>
      </c>
      <c r="B43" s="17" t="s">
        <v>62</v>
      </c>
      <c r="C43" s="35">
        <v>83</v>
      </c>
      <c r="D43" s="7">
        <f>COUNTIF(F:F,"再就业")+COUNTIF(F:F,"小贷")</f>
        <v>1</v>
      </c>
      <c r="E43" s="7">
        <f t="shared" si="0"/>
        <v>82</v>
      </c>
    </row>
    <row r="44" s="1" customFormat="1" ht="22.5" customHeight="1" spans="1:5">
      <c r="A44" s="33" t="s">
        <v>60</v>
      </c>
      <c r="B44" s="17" t="s">
        <v>63</v>
      </c>
      <c r="C44" s="35">
        <v>1</v>
      </c>
      <c r="D44" s="7">
        <f>COUNTIF(F:F,B44)</f>
        <v>0</v>
      </c>
      <c r="E44" s="7">
        <f t="shared" si="0"/>
        <v>1</v>
      </c>
    </row>
    <row r="45" s="1" customFormat="1" ht="22.5" customHeight="1" spans="1:5">
      <c r="A45" s="33" t="s">
        <v>60</v>
      </c>
      <c r="B45" s="7" t="s">
        <v>64</v>
      </c>
      <c r="C45" s="35">
        <v>615</v>
      </c>
      <c r="D45" s="7">
        <f>COUNTIF(F:F,B45)</f>
        <v>1</v>
      </c>
      <c r="E45" s="7">
        <f t="shared" si="0"/>
        <v>614</v>
      </c>
    </row>
    <row r="46" s="1" customFormat="1" ht="22.5" customHeight="1" spans="1:5">
      <c r="A46" s="33" t="s">
        <v>60</v>
      </c>
      <c r="B46" s="7" t="s">
        <v>13</v>
      </c>
      <c r="C46" s="35">
        <v>919</v>
      </c>
      <c r="D46" s="7">
        <f>COUNTIF(F:F,B46)</f>
        <v>0</v>
      </c>
      <c r="E46" s="7">
        <f t="shared" si="0"/>
        <v>919</v>
      </c>
    </row>
    <row r="47" s="1" customFormat="1" ht="22.5" customHeight="1" spans="1:5">
      <c r="A47" s="33" t="s">
        <v>60</v>
      </c>
      <c r="B47" s="7" t="s">
        <v>31</v>
      </c>
      <c r="C47" s="35">
        <v>4501</v>
      </c>
      <c r="D47" s="7">
        <f>COUNTIF(F:F,B47)</f>
        <v>3</v>
      </c>
      <c r="E47" s="7">
        <f t="shared" si="0"/>
        <v>4498</v>
      </c>
    </row>
    <row r="48" s="1" customFormat="1" ht="22.5" customHeight="1" spans="1:5">
      <c r="A48" s="33" t="s">
        <v>60</v>
      </c>
      <c r="B48" s="7" t="s">
        <v>65</v>
      </c>
      <c r="C48" s="36">
        <v>42</v>
      </c>
      <c r="D48" s="7">
        <f>COUNTIF(F:F,B48)</f>
        <v>0</v>
      </c>
      <c r="E48" s="7">
        <f t="shared" si="0"/>
        <v>42</v>
      </c>
    </row>
    <row r="49" s="1" customFormat="1" ht="22.5" customHeight="1" spans="1:5">
      <c r="A49" s="37"/>
      <c r="B49" s="7"/>
      <c r="C49" s="7">
        <f>SUM(C40:C48)</f>
        <v>7540</v>
      </c>
      <c r="D49" s="7">
        <f>SUM(D40:D48)</f>
        <v>7</v>
      </c>
      <c r="E49" s="7">
        <f>SUM(E40:E48)</f>
        <v>7533</v>
      </c>
    </row>
    <row r="50" s="1" customFormat="1" ht="22.5" customHeight="1"/>
  </sheetData>
  <sortState ref="B5:F13">
    <sortCondition ref="B5:B13"/>
  </sortState>
  <mergeCells count="15">
    <mergeCell ref="A1:G1"/>
    <mergeCell ref="A2:G2"/>
    <mergeCell ref="A3:G3"/>
    <mergeCell ref="B31:E31"/>
    <mergeCell ref="B32:E32"/>
    <mergeCell ref="B33:E33"/>
    <mergeCell ref="B34:E34"/>
    <mergeCell ref="B35:E35"/>
    <mergeCell ref="B36:E36"/>
    <mergeCell ref="B37:E37"/>
    <mergeCell ref="B38:E38"/>
    <mergeCell ref="A31:A32"/>
    <mergeCell ref="A33:A34"/>
    <mergeCell ref="A35:A36"/>
    <mergeCell ref="A37:A38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H42"/>
  <sheetViews>
    <sheetView view="pageBreakPreview" zoomScaleNormal="100" workbookViewId="0">
      <selection activeCell="F8" sqref="F8"/>
    </sheetView>
  </sheetViews>
  <sheetFormatPr defaultColWidth="9" defaultRowHeight="14.25" outlineLevelCol="7"/>
  <cols>
    <col min="1" max="1" width="5" style="38" customWidth="1"/>
    <col min="2" max="2" width="7.125" style="38" customWidth="1"/>
    <col min="3" max="3" width="24.125" style="39" customWidth="1"/>
    <col min="4" max="4" width="8" style="40" customWidth="1"/>
    <col min="5" max="5" width="11.875" style="40" customWidth="1"/>
    <col min="6" max="6" width="8.75" style="38" customWidth="1"/>
    <col min="7" max="7" width="5.375" style="38" customWidth="1"/>
    <col min="8" max="8" width="10.25" style="41" customWidth="1"/>
    <col min="9" max="12" width="9" style="41"/>
    <col min="13" max="13" width="0.5" style="41" customWidth="1"/>
    <col min="14" max="17" width="9" style="41" hidden="1"/>
    <col min="18" max="16384" width="9" style="41"/>
  </cols>
  <sheetData>
    <row r="1" ht="21" customHeight="1" spans="1:8">
      <c r="A1" s="42" t="s">
        <v>0</v>
      </c>
      <c r="B1" s="43"/>
      <c r="C1" s="43"/>
      <c r="D1" s="43"/>
      <c r="E1" s="43"/>
      <c r="F1" s="43"/>
      <c r="G1" s="43"/>
      <c r="H1" s="44"/>
    </row>
    <row r="2" ht="21" customHeight="1" spans="1:8">
      <c r="A2" s="45" t="s">
        <v>1</v>
      </c>
      <c r="B2" s="46"/>
      <c r="C2" s="47"/>
      <c r="D2" s="46"/>
      <c r="E2" s="46"/>
      <c r="F2" s="46"/>
      <c r="G2" s="46"/>
      <c r="H2" s="48"/>
    </row>
    <row r="3" ht="21" customHeight="1" spans="1:8">
      <c r="A3" s="49" t="s">
        <v>2</v>
      </c>
      <c r="B3" s="50"/>
      <c r="C3" s="51"/>
      <c r="D3" s="50"/>
      <c r="E3" s="50"/>
      <c r="F3" s="50"/>
      <c r="G3" s="50"/>
      <c r="H3" s="48"/>
    </row>
    <row r="4" ht="40" customHeight="1" spans="1:8">
      <c r="A4" s="52" t="s">
        <v>3</v>
      </c>
      <c r="B4" s="53" t="s">
        <v>4</v>
      </c>
      <c r="C4" s="53" t="s">
        <v>5</v>
      </c>
      <c r="D4" s="53" t="s">
        <v>279</v>
      </c>
      <c r="E4" s="53" t="s">
        <v>7</v>
      </c>
      <c r="F4" s="54" t="s">
        <v>280</v>
      </c>
      <c r="G4" s="55" t="s">
        <v>9</v>
      </c>
      <c r="H4" s="23" t="s">
        <v>281</v>
      </c>
    </row>
    <row r="5" ht="24" customHeight="1" spans="1:8">
      <c r="A5" s="56">
        <v>1</v>
      </c>
      <c r="B5" s="65">
        <v>12641</v>
      </c>
      <c r="C5" s="72" t="s">
        <v>282</v>
      </c>
      <c r="D5" s="68" t="s">
        <v>283</v>
      </c>
      <c r="E5" s="68" t="s">
        <v>283</v>
      </c>
      <c r="F5" s="121" t="s">
        <v>31</v>
      </c>
      <c r="G5" s="60">
        <v>1</v>
      </c>
      <c r="H5" s="64"/>
    </row>
    <row r="6" ht="24" customHeight="1" spans="1:8">
      <c r="A6" s="56">
        <v>2</v>
      </c>
      <c r="B6" s="65">
        <v>14009</v>
      </c>
      <c r="C6" s="123" t="s">
        <v>284</v>
      </c>
      <c r="D6" s="121" t="s">
        <v>285</v>
      </c>
      <c r="E6" s="124" t="s">
        <v>286</v>
      </c>
      <c r="F6" s="121" t="s">
        <v>31</v>
      </c>
      <c r="G6" s="60">
        <v>1</v>
      </c>
      <c r="H6" s="61"/>
    </row>
    <row r="7" ht="24" customHeight="1" spans="1:8">
      <c r="A7" s="56">
        <v>3</v>
      </c>
      <c r="B7" s="65">
        <v>14531</v>
      </c>
      <c r="C7" s="122" t="s">
        <v>287</v>
      </c>
      <c r="D7" s="68" t="s">
        <v>288</v>
      </c>
      <c r="E7" s="68" t="s">
        <v>288</v>
      </c>
      <c r="F7" s="121" t="s">
        <v>31</v>
      </c>
      <c r="G7" s="60">
        <v>1</v>
      </c>
      <c r="H7" s="61"/>
    </row>
    <row r="8" ht="24" customHeight="1" spans="1:8">
      <c r="A8" s="56">
        <v>4</v>
      </c>
      <c r="B8" s="71">
        <v>10358</v>
      </c>
      <c r="C8" s="72" t="s">
        <v>289</v>
      </c>
      <c r="D8" s="68" t="s">
        <v>290</v>
      </c>
      <c r="E8" s="68" t="s">
        <v>290</v>
      </c>
      <c r="F8" s="121" t="s">
        <v>31</v>
      </c>
      <c r="G8" s="60">
        <v>1</v>
      </c>
      <c r="H8" s="125"/>
    </row>
    <row r="9" ht="24" customHeight="1" spans="1:8">
      <c r="A9" s="56">
        <v>5</v>
      </c>
      <c r="B9" s="68"/>
      <c r="C9" s="72"/>
      <c r="D9" s="68"/>
      <c r="E9" s="68"/>
      <c r="F9" s="121"/>
      <c r="G9" s="60"/>
      <c r="H9" s="126"/>
    </row>
    <row r="10" ht="24" customHeight="1" spans="1:8">
      <c r="A10" s="56">
        <v>6</v>
      </c>
      <c r="B10" s="120"/>
      <c r="C10" s="123"/>
      <c r="D10" s="121"/>
      <c r="E10" s="124"/>
      <c r="F10" s="121"/>
      <c r="G10" s="60"/>
      <c r="H10" s="126"/>
    </row>
    <row r="11" ht="24" customHeight="1" spans="1:8">
      <c r="A11" s="56">
        <v>7</v>
      </c>
      <c r="B11" s="120"/>
      <c r="C11" s="121"/>
      <c r="D11" s="120"/>
      <c r="E11" s="60"/>
      <c r="F11" s="121"/>
      <c r="G11" s="60"/>
      <c r="H11" s="126"/>
    </row>
    <row r="12" ht="24" customHeight="1" spans="1:8">
      <c r="A12" s="56">
        <v>8</v>
      </c>
      <c r="B12" s="71"/>
      <c r="C12" s="123"/>
      <c r="D12" s="121"/>
      <c r="E12" s="124"/>
      <c r="F12" s="121"/>
      <c r="G12" s="60"/>
      <c r="H12" s="126"/>
    </row>
    <row r="13" ht="24" customHeight="1" spans="1:8">
      <c r="A13" s="56">
        <v>9</v>
      </c>
      <c r="B13" s="120"/>
      <c r="C13" s="123"/>
      <c r="D13" s="121"/>
      <c r="E13" s="124"/>
      <c r="F13" s="59"/>
      <c r="G13" s="60"/>
      <c r="H13" s="61"/>
    </row>
    <row r="14" ht="24" customHeight="1" spans="1:8">
      <c r="A14" s="56">
        <v>10</v>
      </c>
      <c r="B14" s="65"/>
      <c r="C14" s="66"/>
      <c r="D14" s="68"/>
      <c r="E14" s="68"/>
      <c r="F14" s="59"/>
      <c r="G14" s="60">
        <v>1</v>
      </c>
      <c r="H14" s="61"/>
    </row>
    <row r="15" ht="24" customHeight="1" spans="1:8">
      <c r="A15" s="56">
        <v>11</v>
      </c>
      <c r="B15" s="65"/>
      <c r="C15" s="66"/>
      <c r="D15" s="68"/>
      <c r="E15" s="68"/>
      <c r="F15" s="59"/>
      <c r="G15" s="60">
        <v>1</v>
      </c>
      <c r="H15" s="61"/>
    </row>
    <row r="16" ht="24" customHeight="1" spans="1:8">
      <c r="A16" s="56">
        <v>12</v>
      </c>
      <c r="B16" s="71"/>
      <c r="C16" s="72"/>
      <c r="D16" s="68"/>
      <c r="E16" s="68"/>
      <c r="F16" s="59"/>
      <c r="G16" s="60">
        <v>1</v>
      </c>
      <c r="H16" s="61"/>
    </row>
    <row r="17" ht="24" customHeight="1" spans="1:8">
      <c r="A17" s="56">
        <v>13</v>
      </c>
      <c r="B17" s="63"/>
      <c r="C17" s="58"/>
      <c r="D17" s="59"/>
      <c r="E17" s="107"/>
      <c r="F17" s="59"/>
      <c r="G17" s="60">
        <v>1</v>
      </c>
      <c r="H17" s="61"/>
    </row>
    <row r="18" ht="24" customHeight="1" spans="1:8">
      <c r="A18" s="56">
        <v>14</v>
      </c>
      <c r="B18" s="65"/>
      <c r="C18" s="66"/>
      <c r="D18" s="68"/>
      <c r="E18" s="68"/>
      <c r="F18" s="59"/>
      <c r="G18" s="60">
        <v>1</v>
      </c>
      <c r="H18" s="61"/>
    </row>
    <row r="19" ht="13" customHeight="1" spans="1:8">
      <c r="A19" s="56"/>
      <c r="B19" s="57"/>
      <c r="C19" s="57"/>
      <c r="D19" s="57"/>
      <c r="E19" s="65"/>
      <c r="F19" s="68"/>
      <c r="G19" s="60"/>
      <c r="H19" s="61"/>
    </row>
    <row r="20" ht="15" customHeight="1" spans="1:8">
      <c r="A20" s="56"/>
      <c r="B20" s="73"/>
      <c r="C20" s="73"/>
      <c r="D20" s="74"/>
      <c r="E20" s="75"/>
      <c r="F20" s="76"/>
      <c r="G20" s="55"/>
      <c r="H20" s="48"/>
    </row>
    <row r="21" ht="21" customHeight="1" spans="1:8">
      <c r="A21" s="77" t="s">
        <v>291</v>
      </c>
      <c r="B21" s="77"/>
      <c r="C21" s="78"/>
      <c r="D21" s="77"/>
      <c r="E21" s="77"/>
      <c r="F21" s="79"/>
      <c r="G21" s="77"/>
      <c r="H21" s="48"/>
    </row>
    <row r="22" ht="26" customHeight="1" spans="1:8">
      <c r="A22" s="80" t="s">
        <v>292</v>
      </c>
      <c r="B22" s="81"/>
      <c r="C22" s="82" t="s">
        <v>293</v>
      </c>
      <c r="D22" s="83"/>
      <c r="E22" s="83"/>
      <c r="F22" s="83"/>
      <c r="G22" s="83"/>
      <c r="H22" s="84"/>
    </row>
    <row r="23" ht="24" customHeight="1" spans="1:8">
      <c r="A23" s="85"/>
      <c r="B23" s="86"/>
      <c r="C23" s="82" t="s">
        <v>294</v>
      </c>
      <c r="D23" s="83"/>
      <c r="E23" s="83"/>
      <c r="F23" s="83"/>
      <c r="G23" s="83"/>
      <c r="H23" s="84"/>
    </row>
    <row r="24" ht="24" customHeight="1" spans="1:8">
      <c r="A24" s="87"/>
      <c r="B24" s="88"/>
      <c r="C24" s="82" t="s">
        <v>295</v>
      </c>
      <c r="D24" s="83"/>
      <c r="E24" s="83"/>
      <c r="F24" s="83"/>
      <c r="G24" s="83"/>
      <c r="H24" s="84"/>
    </row>
    <row r="25" ht="32" customHeight="1" spans="1:8">
      <c r="A25" s="89" t="s">
        <v>52</v>
      </c>
      <c r="B25" s="89"/>
      <c r="C25" s="90" t="s">
        <v>296</v>
      </c>
      <c r="D25" s="90"/>
      <c r="E25" s="90"/>
      <c r="F25" s="90"/>
      <c r="G25" s="90"/>
      <c r="H25" s="90"/>
    </row>
    <row r="26" ht="25" customHeight="1" spans="1:8">
      <c r="A26" s="89" t="s">
        <v>297</v>
      </c>
      <c r="B26" s="89"/>
      <c r="C26" s="91" t="s">
        <v>298</v>
      </c>
      <c r="D26" s="91"/>
      <c r="E26" s="91"/>
      <c r="F26" s="91"/>
      <c r="G26" s="91"/>
      <c r="H26" s="91"/>
    </row>
    <row r="27" ht="27" customHeight="1" spans="1:8">
      <c r="A27" s="89"/>
      <c r="B27" s="89"/>
      <c r="C27" s="92" t="s">
        <v>299</v>
      </c>
      <c r="D27" s="93"/>
      <c r="E27" s="93"/>
      <c r="F27" s="93"/>
      <c r="G27" s="93"/>
      <c r="H27" s="94"/>
    </row>
    <row r="28" ht="24" customHeight="1" spans="1:8">
      <c r="A28" s="95" t="s">
        <v>292</v>
      </c>
      <c r="B28" s="96"/>
      <c r="C28" s="92" t="s">
        <v>300</v>
      </c>
      <c r="D28" s="97"/>
      <c r="E28" s="97"/>
      <c r="F28" s="97"/>
      <c r="G28" s="97"/>
      <c r="H28" s="98"/>
    </row>
    <row r="29" ht="24" customHeight="1" spans="1:8">
      <c r="A29" s="99"/>
      <c r="B29" s="100"/>
      <c r="C29" s="92" t="s">
        <v>301</v>
      </c>
      <c r="D29" s="97"/>
      <c r="E29" s="97"/>
      <c r="F29" s="97"/>
      <c r="G29" s="97"/>
      <c r="H29" s="98"/>
    </row>
    <row r="30" ht="21" customHeight="1" spans="1:7">
      <c r="A30" s="96"/>
      <c r="B30" s="96"/>
      <c r="D30" s="96"/>
      <c r="E30" s="96"/>
      <c r="F30" s="39"/>
      <c r="G30" s="39"/>
    </row>
    <row r="31" ht="21" customHeight="1" spans="1:7">
      <c r="A31" s="96"/>
      <c r="B31" s="96"/>
      <c r="D31" s="96"/>
      <c r="E31" s="96"/>
      <c r="F31" s="39"/>
      <c r="G31" s="39"/>
    </row>
    <row r="33" ht="21" customHeight="1" spans="1:7">
      <c r="A33" s="33" t="s">
        <v>60</v>
      </c>
      <c r="B33" s="7" t="s">
        <v>61</v>
      </c>
      <c r="C33" s="34">
        <v>1</v>
      </c>
      <c r="D33" s="7">
        <f>COUNTIF(F:F,B33)</f>
        <v>0</v>
      </c>
      <c r="E33" s="7">
        <f t="shared" ref="E33:E41" si="0">C33-D33</f>
        <v>1</v>
      </c>
      <c r="G33" s="41"/>
    </row>
    <row r="34" ht="21" customHeight="1" spans="1:7">
      <c r="A34" s="33" t="s">
        <v>60</v>
      </c>
      <c r="B34" s="7" t="s">
        <v>27</v>
      </c>
      <c r="C34" s="34">
        <v>972</v>
      </c>
      <c r="D34" s="7">
        <f>COUNTIF(F:F,B34)</f>
        <v>0</v>
      </c>
      <c r="E34" s="7">
        <f t="shared" si="0"/>
        <v>972</v>
      </c>
      <c r="G34" s="41"/>
    </row>
    <row r="35" ht="21" customHeight="1" spans="1:7">
      <c r="A35" s="33" t="s">
        <v>60</v>
      </c>
      <c r="B35" s="7" t="s">
        <v>21</v>
      </c>
      <c r="C35" s="35">
        <v>406</v>
      </c>
      <c r="D35" s="7">
        <f>COUNTIF(F:F,B35)</f>
        <v>0</v>
      </c>
      <c r="E35" s="7">
        <f t="shared" si="0"/>
        <v>406</v>
      </c>
      <c r="G35" s="41"/>
    </row>
    <row r="36" ht="21" customHeight="1" spans="1:7">
      <c r="A36" s="33" t="s">
        <v>60</v>
      </c>
      <c r="B36" s="17" t="s">
        <v>62</v>
      </c>
      <c r="C36" s="35">
        <v>83</v>
      </c>
      <c r="D36" s="7">
        <f>COUNTIF(F:F,"再就业")+COUNTIF(F:F,"小贷")</f>
        <v>0</v>
      </c>
      <c r="E36" s="7">
        <f t="shared" si="0"/>
        <v>83</v>
      </c>
      <c r="G36" s="41"/>
    </row>
    <row r="37" ht="21" customHeight="1" spans="1:7">
      <c r="A37" s="33" t="s">
        <v>60</v>
      </c>
      <c r="B37" s="17" t="s">
        <v>63</v>
      </c>
      <c r="C37" s="35">
        <v>1</v>
      </c>
      <c r="D37" s="7">
        <f>COUNTIF(F:F,B37)</f>
        <v>0</v>
      </c>
      <c r="E37" s="7">
        <f t="shared" si="0"/>
        <v>1</v>
      </c>
      <c r="G37" s="41"/>
    </row>
    <row r="38" ht="21" customHeight="1" spans="1:7">
      <c r="A38" s="33" t="s">
        <v>60</v>
      </c>
      <c r="B38" s="7" t="s">
        <v>64</v>
      </c>
      <c r="C38" s="35">
        <v>615</v>
      </c>
      <c r="D38" s="7">
        <f>COUNTIF(F:F,B38)</f>
        <v>0</v>
      </c>
      <c r="E38" s="7">
        <f t="shared" si="0"/>
        <v>615</v>
      </c>
      <c r="G38" s="41"/>
    </row>
    <row r="39" ht="21" customHeight="1" spans="1:7">
      <c r="A39" s="33" t="s">
        <v>60</v>
      </c>
      <c r="B39" s="7" t="s">
        <v>13</v>
      </c>
      <c r="C39" s="35">
        <v>919</v>
      </c>
      <c r="D39" s="7">
        <f>COUNTIF(F:F,B39)</f>
        <v>0</v>
      </c>
      <c r="E39" s="7">
        <f t="shared" si="0"/>
        <v>919</v>
      </c>
      <c r="G39" s="41"/>
    </row>
    <row r="40" ht="21" customHeight="1" spans="1:7">
      <c r="A40" s="33" t="s">
        <v>60</v>
      </c>
      <c r="B40" s="7" t="s">
        <v>31</v>
      </c>
      <c r="C40" s="35">
        <v>4505</v>
      </c>
      <c r="D40" s="7">
        <f>COUNTIF(F:F,B40)</f>
        <v>4</v>
      </c>
      <c r="E40" s="7">
        <f t="shared" si="0"/>
        <v>4501</v>
      </c>
      <c r="G40" s="41"/>
    </row>
    <row r="41" ht="21" customHeight="1" spans="1:7">
      <c r="A41" s="33" t="s">
        <v>60</v>
      </c>
      <c r="B41" s="7" t="s">
        <v>65</v>
      </c>
      <c r="C41" s="36">
        <v>42</v>
      </c>
      <c r="D41" s="7">
        <f>COUNTIF(F:F,B41)</f>
        <v>0</v>
      </c>
      <c r="E41" s="7">
        <f t="shared" si="0"/>
        <v>42</v>
      </c>
      <c r="G41" s="41"/>
    </row>
    <row r="42" ht="21" customHeight="1" spans="1:7">
      <c r="A42" s="37"/>
      <c r="B42" s="7"/>
      <c r="C42" s="7">
        <f>SUM(C33:C41)</f>
        <v>7544</v>
      </c>
      <c r="D42" s="7">
        <f>SUM(D33:D41)</f>
        <v>4</v>
      </c>
      <c r="E42" s="7">
        <f>SUM(E33:E41)</f>
        <v>7540</v>
      </c>
      <c r="G42" s="41"/>
    </row>
  </sheetData>
  <sortState ref="B5:F13">
    <sortCondition ref="B5:B13"/>
  </sortState>
  <mergeCells count="15">
    <mergeCell ref="A1:H1"/>
    <mergeCell ref="A2:G2"/>
    <mergeCell ref="A3:G3"/>
    <mergeCell ref="C22:H22"/>
    <mergeCell ref="C23:H23"/>
    <mergeCell ref="C24:H24"/>
    <mergeCell ref="A25:B25"/>
    <mergeCell ref="C25:H25"/>
    <mergeCell ref="C26:H26"/>
    <mergeCell ref="C27:H27"/>
    <mergeCell ref="C28:H28"/>
    <mergeCell ref="C29:H29"/>
    <mergeCell ref="A22:B24"/>
    <mergeCell ref="A26:B27"/>
    <mergeCell ref="A28:B29"/>
  </mergeCells>
  <pageMargins left="0.74999998873613" right="0.74999998873613" top="0.999999984981507" bottom="0.999999984981507" header="0.499999992490753" footer="0.499999992490753"/>
  <pageSetup paperSize="9" fitToHeight="0" orientation="portrait"/>
  <headerFooter/>
  <rowBreaks count="2" manualBreakCount="2">
    <brk id="29" max="16383" man="1"/>
    <brk id="4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pageSetUpPr fitToPage="1"/>
  </sheetPr>
  <dimension ref="A1:H50"/>
  <sheetViews>
    <sheetView view="pageBreakPreview" zoomScaleNormal="100" topLeftCell="A16" workbookViewId="0">
      <selection activeCell="D22" sqref="D22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10</v>
      </c>
    </row>
    <row r="5" s="1" customFormat="1" ht="21" customHeight="1" spans="1:8">
      <c r="A5" s="11">
        <v>1</v>
      </c>
      <c r="B5" s="109">
        <v>1073</v>
      </c>
      <c r="C5" s="109" t="s">
        <v>302</v>
      </c>
      <c r="D5" s="109" t="s">
        <v>303</v>
      </c>
      <c r="E5" s="109" t="s">
        <v>303</v>
      </c>
      <c r="F5" s="108" t="s">
        <v>13</v>
      </c>
      <c r="G5" s="14">
        <v>1</v>
      </c>
      <c r="H5" s="11"/>
    </row>
    <row r="6" s="1" customFormat="1" ht="22.5" customHeight="1" spans="1:8">
      <c r="A6" s="11">
        <v>2</v>
      </c>
      <c r="B6" s="75">
        <v>1411</v>
      </c>
      <c r="C6" s="109" t="s">
        <v>304</v>
      </c>
      <c r="D6" s="75" t="s">
        <v>305</v>
      </c>
      <c r="E6" s="75" t="s">
        <v>305</v>
      </c>
      <c r="F6" s="112" t="s">
        <v>13</v>
      </c>
      <c r="G6" s="14">
        <v>1</v>
      </c>
      <c r="H6" s="7"/>
    </row>
    <row r="7" s="1" customFormat="1" ht="22.5" customHeight="1" spans="1:8">
      <c r="A7" s="11">
        <v>3</v>
      </c>
      <c r="B7" s="109">
        <v>1614</v>
      </c>
      <c r="C7" s="109" t="s">
        <v>306</v>
      </c>
      <c r="D7" s="109" t="s">
        <v>307</v>
      </c>
      <c r="E7" s="109" t="s">
        <v>307</v>
      </c>
      <c r="F7" s="112" t="s">
        <v>13</v>
      </c>
      <c r="G7" s="14">
        <v>1</v>
      </c>
      <c r="H7" s="7"/>
    </row>
    <row r="8" s="1" customFormat="1" ht="22.5" customHeight="1" spans="1:8">
      <c r="A8" s="11">
        <v>4</v>
      </c>
      <c r="B8" s="73">
        <v>2003</v>
      </c>
      <c r="C8" s="139" t="s">
        <v>308</v>
      </c>
      <c r="D8" s="74" t="s">
        <v>309</v>
      </c>
      <c r="E8" s="74" t="s">
        <v>309</v>
      </c>
      <c r="F8" s="112" t="s">
        <v>13</v>
      </c>
      <c r="G8" s="14">
        <v>1</v>
      </c>
      <c r="H8" s="7"/>
    </row>
    <row r="9" s="1" customFormat="1" ht="18.75" spans="1:8">
      <c r="A9" s="11">
        <v>5</v>
      </c>
      <c r="B9" s="75">
        <v>4264</v>
      </c>
      <c r="C9" s="138" t="s">
        <v>310</v>
      </c>
      <c r="D9" s="75" t="s">
        <v>311</v>
      </c>
      <c r="E9" s="75" t="s">
        <v>312</v>
      </c>
      <c r="F9" s="108" t="s">
        <v>64</v>
      </c>
      <c r="G9" s="14">
        <v>1</v>
      </c>
      <c r="H9" s="7"/>
    </row>
    <row r="10" s="1" customFormat="1" ht="22.5" customHeight="1" spans="1:8">
      <c r="A10" s="11">
        <v>6</v>
      </c>
      <c r="B10" s="73">
        <v>4672</v>
      </c>
      <c r="C10" s="139" t="s">
        <v>313</v>
      </c>
      <c r="D10" s="74" t="s">
        <v>314</v>
      </c>
      <c r="E10" s="74" t="s">
        <v>314</v>
      </c>
      <c r="F10" s="108" t="s">
        <v>64</v>
      </c>
      <c r="G10" s="14">
        <v>1</v>
      </c>
      <c r="H10" s="7"/>
    </row>
    <row r="11" s="1" customFormat="1" ht="22.5" customHeight="1" spans="1:8">
      <c r="A11" s="11">
        <v>7</v>
      </c>
      <c r="B11" s="75">
        <v>5207</v>
      </c>
      <c r="C11" s="140" t="s">
        <v>315</v>
      </c>
      <c r="D11" s="75" t="s">
        <v>316</v>
      </c>
      <c r="E11" s="75" t="s">
        <v>317</v>
      </c>
      <c r="F11" s="108" t="s">
        <v>27</v>
      </c>
      <c r="G11" s="14">
        <v>1</v>
      </c>
      <c r="H11" s="7"/>
    </row>
    <row r="12" s="1" customFormat="1" ht="22.5" customHeight="1" spans="1:8">
      <c r="A12" s="11">
        <v>8</v>
      </c>
      <c r="B12" s="75">
        <v>5247</v>
      </c>
      <c r="C12" s="75" t="s">
        <v>318</v>
      </c>
      <c r="D12" s="75" t="s">
        <v>319</v>
      </c>
      <c r="E12" s="75" t="s">
        <v>320</v>
      </c>
      <c r="F12" s="108" t="s">
        <v>27</v>
      </c>
      <c r="G12" s="14">
        <v>1</v>
      </c>
      <c r="H12" s="7"/>
    </row>
    <row r="13" s="1" customFormat="1" ht="22.5" customHeight="1" spans="1:8">
      <c r="A13" s="11">
        <v>9</v>
      </c>
      <c r="B13" s="75">
        <v>5305</v>
      </c>
      <c r="C13" s="75" t="s">
        <v>321</v>
      </c>
      <c r="D13" s="75" t="s">
        <v>322</v>
      </c>
      <c r="E13" s="75" t="s">
        <v>323</v>
      </c>
      <c r="F13" s="108" t="s">
        <v>27</v>
      </c>
      <c r="G13" s="14">
        <v>1</v>
      </c>
      <c r="H13" s="7"/>
    </row>
    <row r="14" s="1" customFormat="1" ht="22.5" customHeight="1" spans="1:8">
      <c r="A14" s="11">
        <v>10</v>
      </c>
      <c r="B14" s="75">
        <v>9406</v>
      </c>
      <c r="C14" s="75" t="s">
        <v>324</v>
      </c>
      <c r="D14" s="75" t="s">
        <v>325</v>
      </c>
      <c r="E14" s="75" t="s">
        <v>326</v>
      </c>
      <c r="F14" s="108" t="s">
        <v>31</v>
      </c>
      <c r="G14" s="14">
        <v>1</v>
      </c>
      <c r="H14" s="7"/>
    </row>
    <row r="15" s="1" customFormat="1" ht="22.5" customHeight="1" spans="1:8">
      <c r="A15" s="11">
        <v>11</v>
      </c>
      <c r="B15" s="109">
        <v>9907</v>
      </c>
      <c r="C15" s="109" t="s">
        <v>327</v>
      </c>
      <c r="D15" s="109" t="s">
        <v>328</v>
      </c>
      <c r="E15" s="109" t="s">
        <v>329</v>
      </c>
      <c r="F15" s="108" t="s">
        <v>31</v>
      </c>
      <c r="G15" s="14">
        <v>1</v>
      </c>
      <c r="H15" s="7"/>
    </row>
    <row r="16" s="1" customFormat="1" ht="22.5" customHeight="1" spans="1:8">
      <c r="A16" s="11">
        <v>12</v>
      </c>
      <c r="B16" s="109">
        <v>10157</v>
      </c>
      <c r="C16" s="109" t="s">
        <v>330</v>
      </c>
      <c r="D16" s="109" t="s">
        <v>331</v>
      </c>
      <c r="E16" s="109" t="s">
        <v>332</v>
      </c>
      <c r="F16" s="108" t="s">
        <v>31</v>
      </c>
      <c r="G16" s="14">
        <v>1</v>
      </c>
      <c r="H16" s="7"/>
    </row>
    <row r="17" s="1" customFormat="1" ht="22.5" customHeight="1" spans="1:8">
      <c r="A17" s="11">
        <v>13</v>
      </c>
      <c r="B17" s="109">
        <v>10705</v>
      </c>
      <c r="C17" s="109" t="s">
        <v>333</v>
      </c>
      <c r="D17" s="109" t="s">
        <v>334</v>
      </c>
      <c r="E17" s="109" t="s">
        <v>335</v>
      </c>
      <c r="F17" s="108" t="s">
        <v>31</v>
      </c>
      <c r="G17" s="14">
        <v>1</v>
      </c>
      <c r="H17" s="7"/>
    </row>
    <row r="18" s="1" customFormat="1" ht="22.5" customHeight="1" spans="1:8">
      <c r="A18" s="11">
        <v>14</v>
      </c>
      <c r="B18" s="109">
        <v>10760</v>
      </c>
      <c r="C18" s="109" t="s">
        <v>336</v>
      </c>
      <c r="D18" s="109" t="s">
        <v>337</v>
      </c>
      <c r="E18" s="109" t="s">
        <v>338</v>
      </c>
      <c r="F18" s="108" t="s">
        <v>31</v>
      </c>
      <c r="G18" s="14">
        <v>1</v>
      </c>
      <c r="H18" s="7"/>
    </row>
    <row r="19" s="1" customFormat="1" ht="22.5" customHeight="1" spans="1:8">
      <c r="A19" s="11">
        <v>15</v>
      </c>
      <c r="B19" s="109">
        <v>10888</v>
      </c>
      <c r="C19" s="109" t="s">
        <v>339</v>
      </c>
      <c r="D19" s="109" t="s">
        <v>340</v>
      </c>
      <c r="E19" s="109" t="s">
        <v>340</v>
      </c>
      <c r="F19" s="108" t="s">
        <v>31</v>
      </c>
      <c r="G19" s="14">
        <v>1</v>
      </c>
      <c r="H19" s="7"/>
    </row>
    <row r="20" s="1" customFormat="1" ht="22.5" customHeight="1" spans="1:8">
      <c r="A20" s="113">
        <v>16</v>
      </c>
      <c r="B20" s="109">
        <v>11324</v>
      </c>
      <c r="C20" s="109" t="s">
        <v>341</v>
      </c>
      <c r="D20" s="109" t="s">
        <v>342</v>
      </c>
      <c r="E20" s="109" t="s">
        <v>343</v>
      </c>
      <c r="F20" s="108" t="s">
        <v>31</v>
      </c>
      <c r="G20" s="14">
        <v>1</v>
      </c>
      <c r="H20" s="7"/>
    </row>
    <row r="21" s="1" customFormat="1" ht="22.5" customHeight="1" spans="1:8">
      <c r="A21" s="11">
        <v>17</v>
      </c>
      <c r="B21" s="109">
        <v>12327</v>
      </c>
      <c r="C21" s="138" t="s">
        <v>344</v>
      </c>
      <c r="D21" s="109" t="s">
        <v>345</v>
      </c>
      <c r="E21" s="109" t="s">
        <v>346</v>
      </c>
      <c r="F21" s="108" t="s">
        <v>31</v>
      </c>
      <c r="G21" s="14">
        <v>1</v>
      </c>
      <c r="H21" s="7"/>
    </row>
    <row r="22" s="1" customFormat="1" ht="22.5" customHeight="1" spans="1:8">
      <c r="A22" s="11">
        <v>18</v>
      </c>
      <c r="B22" s="109">
        <v>14082</v>
      </c>
      <c r="C22" s="109" t="s">
        <v>347</v>
      </c>
      <c r="D22" s="109" t="s">
        <v>348</v>
      </c>
      <c r="E22" s="109" t="s">
        <v>349</v>
      </c>
      <c r="F22" s="108" t="s">
        <v>31</v>
      </c>
      <c r="G22" s="14">
        <v>1</v>
      </c>
      <c r="H22" s="7"/>
    </row>
    <row r="23" s="1" customFormat="1" ht="22.5" customHeight="1" spans="1:8">
      <c r="A23" s="11">
        <v>19</v>
      </c>
      <c r="B23" s="109">
        <v>14123</v>
      </c>
      <c r="C23" s="109" t="s">
        <v>350</v>
      </c>
      <c r="D23" s="109" t="s">
        <v>351</v>
      </c>
      <c r="E23" s="109" t="s">
        <v>351</v>
      </c>
      <c r="F23" s="108" t="s">
        <v>31</v>
      </c>
      <c r="G23" s="14">
        <v>1</v>
      </c>
      <c r="H23" s="7"/>
    </row>
    <row r="24" s="1" customFormat="1" ht="22.5" customHeight="1" spans="1:8">
      <c r="A24" s="11">
        <v>20</v>
      </c>
      <c r="B24" s="109">
        <v>14612</v>
      </c>
      <c r="C24" s="109" t="s">
        <v>352</v>
      </c>
      <c r="D24" s="109" t="s">
        <v>353</v>
      </c>
      <c r="E24" s="109" t="s">
        <v>353</v>
      </c>
      <c r="F24" s="108" t="s">
        <v>31</v>
      </c>
      <c r="G24" s="14">
        <v>1</v>
      </c>
      <c r="H24" s="7"/>
    </row>
    <row r="25" s="1" customFormat="1" ht="22.5" customHeight="1" spans="1:8">
      <c r="A25" s="113">
        <v>21</v>
      </c>
      <c r="B25" s="109">
        <v>14762</v>
      </c>
      <c r="C25" s="109" t="s">
        <v>354</v>
      </c>
      <c r="D25" s="109" t="s">
        <v>355</v>
      </c>
      <c r="E25" s="109" t="s">
        <v>356</v>
      </c>
      <c r="F25" s="108" t="s">
        <v>31</v>
      </c>
      <c r="G25" s="14">
        <v>1</v>
      </c>
      <c r="H25" s="7"/>
    </row>
    <row r="26" s="1" customFormat="1" ht="22.5" customHeight="1" spans="1:8">
      <c r="A26" s="11">
        <v>22</v>
      </c>
      <c r="B26" s="109">
        <v>15002</v>
      </c>
      <c r="C26" s="109" t="s">
        <v>357</v>
      </c>
      <c r="D26" s="109" t="s">
        <v>358</v>
      </c>
      <c r="E26" s="109" t="s">
        <v>359</v>
      </c>
      <c r="F26" s="108" t="s">
        <v>31</v>
      </c>
      <c r="G26" s="14">
        <v>1</v>
      </c>
      <c r="H26" s="7"/>
    </row>
    <row r="27" s="1" customFormat="1" ht="22.5" customHeight="1" spans="1:8">
      <c r="A27" s="103"/>
      <c r="B27" s="104"/>
      <c r="C27" s="104"/>
      <c r="D27" s="104"/>
      <c r="E27" s="104"/>
      <c r="F27" s="104"/>
      <c r="G27" s="105"/>
      <c r="H27" s="23"/>
    </row>
    <row r="28" s="1" customFormat="1" ht="22.5" customHeight="1" spans="1:8">
      <c r="A28" s="103"/>
      <c r="B28" s="104"/>
      <c r="C28" s="104"/>
      <c r="D28" s="104"/>
      <c r="E28" s="104"/>
      <c r="F28" s="104"/>
      <c r="G28" s="104"/>
      <c r="H28" s="23"/>
    </row>
    <row r="29" s="1" customFormat="1" ht="22.5" customHeight="1" spans="1:7">
      <c r="A29" s="19" t="s">
        <v>47</v>
      </c>
      <c r="B29" s="20"/>
      <c r="C29" s="20"/>
      <c r="D29" s="20"/>
      <c r="E29" s="20"/>
      <c r="F29" s="20"/>
      <c r="G29" s="20"/>
    </row>
    <row r="30" s="1" customFormat="1" ht="22.5" customHeight="1" spans="1:8">
      <c r="A30" s="21" t="s">
        <v>48</v>
      </c>
      <c r="B30" s="22"/>
      <c r="C30" s="22"/>
      <c r="D30" s="22"/>
      <c r="E30" s="23"/>
      <c r="F30" s="24"/>
      <c r="G30" s="24"/>
      <c r="H30" s="7"/>
    </row>
    <row r="31" s="1" customFormat="1" ht="22.5" customHeight="1" spans="1:8">
      <c r="A31" s="7" t="s">
        <v>49</v>
      </c>
      <c r="B31" s="7" t="s">
        <v>50</v>
      </c>
      <c r="C31" s="7"/>
      <c r="D31" s="7"/>
      <c r="E31" s="7"/>
      <c r="F31" s="24"/>
      <c r="G31" s="24"/>
      <c r="H31" s="7"/>
    </row>
    <row r="32" s="1" customFormat="1" ht="22.5" customHeight="1" spans="1:8">
      <c r="A32" s="7"/>
      <c r="B32" s="7" t="s">
        <v>51</v>
      </c>
      <c r="C32" s="7"/>
      <c r="D32" s="7"/>
      <c r="E32" s="7"/>
      <c r="F32" s="24"/>
      <c r="G32" s="24"/>
      <c r="H32" s="7"/>
    </row>
    <row r="33" s="1" customFormat="1" ht="22.5" customHeight="1" spans="1:8">
      <c r="A33" s="25" t="s">
        <v>52</v>
      </c>
      <c r="B33" s="26" t="s">
        <v>53</v>
      </c>
      <c r="C33" s="27"/>
      <c r="D33" s="27"/>
      <c r="E33" s="28"/>
      <c r="F33" s="24"/>
      <c r="G33" s="24"/>
      <c r="H33" s="7"/>
    </row>
    <row r="34" s="1" customFormat="1" ht="22.5" customHeight="1" spans="1:8">
      <c r="A34" s="29"/>
      <c r="B34" s="30" t="s">
        <v>54</v>
      </c>
      <c r="C34" s="31"/>
      <c r="D34" s="31"/>
      <c r="E34" s="32"/>
      <c r="F34" s="24"/>
      <c r="G34" s="24"/>
      <c r="H34" s="7"/>
    </row>
    <row r="35" s="1" customFormat="1" ht="22.5" customHeight="1" spans="1:8">
      <c r="A35" s="17" t="s">
        <v>55</v>
      </c>
      <c r="B35" s="7" t="s">
        <v>56</v>
      </c>
      <c r="C35" s="7"/>
      <c r="D35" s="7"/>
      <c r="E35" s="7"/>
      <c r="F35" s="24"/>
      <c r="G35" s="24"/>
      <c r="H35" s="7"/>
    </row>
    <row r="36" s="1" customFormat="1" ht="22.5" customHeight="1" spans="1:8">
      <c r="A36" s="17"/>
      <c r="B36" s="7" t="s">
        <v>56</v>
      </c>
      <c r="C36" s="7"/>
      <c r="D36" s="7"/>
      <c r="E36" s="7"/>
      <c r="F36" s="24"/>
      <c r="G36" s="24"/>
      <c r="H36" s="7"/>
    </row>
    <row r="37" s="1" customFormat="1" ht="22.5" customHeight="1" spans="1:8">
      <c r="A37" s="17" t="s">
        <v>57</v>
      </c>
      <c r="B37" s="7" t="s">
        <v>58</v>
      </c>
      <c r="C37" s="7"/>
      <c r="D37" s="7"/>
      <c r="E37" s="7"/>
      <c r="F37" s="24"/>
      <c r="G37" s="24"/>
      <c r="H37" s="7"/>
    </row>
    <row r="38" s="1" customFormat="1" ht="22.5" customHeight="1" spans="1:8">
      <c r="A38" s="17"/>
      <c r="B38" s="7" t="s">
        <v>59</v>
      </c>
      <c r="C38" s="7"/>
      <c r="D38" s="7"/>
      <c r="E38" s="7"/>
      <c r="F38" s="24"/>
      <c r="G38" s="24"/>
      <c r="H38" s="7"/>
    </row>
    <row r="39" s="1" customFormat="1" ht="22.5" customHeight="1"/>
    <row r="40" s="1" customFormat="1" ht="22.5" customHeight="1" spans="1:5">
      <c r="A40" s="33" t="s">
        <v>60</v>
      </c>
      <c r="B40" s="7" t="s">
        <v>61</v>
      </c>
      <c r="C40" s="34">
        <v>1</v>
      </c>
      <c r="D40" s="7">
        <f>COUNTIF(F:F,B40)</f>
        <v>0</v>
      </c>
      <c r="E40" s="7">
        <f t="shared" ref="E40:E48" si="0">C40-D40</f>
        <v>1</v>
      </c>
    </row>
    <row r="41" s="1" customFormat="1" ht="22.5" customHeight="1" spans="1:5">
      <c r="A41" s="33" t="s">
        <v>60</v>
      </c>
      <c r="B41" s="7" t="s">
        <v>27</v>
      </c>
      <c r="C41" s="34">
        <v>968</v>
      </c>
      <c r="D41" s="7">
        <f>COUNTIF(F:F,B41)</f>
        <v>3</v>
      </c>
      <c r="E41" s="7">
        <f t="shared" si="0"/>
        <v>965</v>
      </c>
    </row>
    <row r="42" s="1" customFormat="1" ht="22.5" customHeight="1" spans="1:5">
      <c r="A42" s="33" t="s">
        <v>60</v>
      </c>
      <c r="B42" s="7" t="s">
        <v>21</v>
      </c>
      <c r="C42" s="35">
        <v>402</v>
      </c>
      <c r="D42" s="7">
        <f>COUNTIF(F:F,B42)</f>
        <v>0</v>
      </c>
      <c r="E42" s="7">
        <f t="shared" si="0"/>
        <v>402</v>
      </c>
    </row>
    <row r="43" s="1" customFormat="1" ht="22.5" customHeight="1" spans="1:5">
      <c r="A43" s="33" t="s">
        <v>60</v>
      </c>
      <c r="B43" s="17" t="s">
        <v>62</v>
      </c>
      <c r="C43" s="35">
        <v>82</v>
      </c>
      <c r="D43" s="7">
        <f>COUNTIF(F:F,"再就业")+COUNTIF(F:F,"小贷")</f>
        <v>0</v>
      </c>
      <c r="E43" s="7">
        <f t="shared" si="0"/>
        <v>82</v>
      </c>
    </row>
    <row r="44" s="1" customFormat="1" ht="22.5" customHeight="1" spans="1:5">
      <c r="A44" s="33" t="s">
        <v>60</v>
      </c>
      <c r="B44" s="17" t="s">
        <v>63</v>
      </c>
      <c r="C44" s="35">
        <v>1</v>
      </c>
      <c r="D44" s="7">
        <f>COUNTIF(F:F,B44)</f>
        <v>0</v>
      </c>
      <c r="E44" s="7">
        <f t="shared" si="0"/>
        <v>1</v>
      </c>
    </row>
    <row r="45" s="1" customFormat="1" ht="22.5" customHeight="1" spans="1:5">
      <c r="A45" s="33" t="s">
        <v>60</v>
      </c>
      <c r="B45" s="7" t="s">
        <v>64</v>
      </c>
      <c r="C45" s="35">
        <v>615</v>
      </c>
      <c r="D45" s="7">
        <f>COUNTIF(F:F,B45)</f>
        <v>2</v>
      </c>
      <c r="E45" s="7">
        <f t="shared" si="0"/>
        <v>613</v>
      </c>
    </row>
    <row r="46" s="1" customFormat="1" ht="22.5" customHeight="1" spans="1:5">
      <c r="A46" s="33" t="s">
        <v>60</v>
      </c>
      <c r="B46" s="7" t="s">
        <v>13</v>
      </c>
      <c r="C46" s="35">
        <v>914</v>
      </c>
      <c r="D46" s="7">
        <f>COUNTIF(F:F,B46)</f>
        <v>4</v>
      </c>
      <c r="E46" s="7">
        <f t="shared" si="0"/>
        <v>910</v>
      </c>
    </row>
    <row r="47" s="1" customFormat="1" ht="22.5" customHeight="1" spans="1:5">
      <c r="A47" s="33" t="s">
        <v>60</v>
      </c>
      <c r="B47" s="7" t="s">
        <v>31</v>
      </c>
      <c r="C47" s="35">
        <v>4472</v>
      </c>
      <c r="D47" s="7">
        <f>COUNTIF(F:F,B47)</f>
        <v>13</v>
      </c>
      <c r="E47" s="7">
        <f t="shared" si="0"/>
        <v>4459</v>
      </c>
    </row>
    <row r="48" s="1" customFormat="1" ht="22.5" customHeight="1" spans="1:5">
      <c r="A48" s="33" t="s">
        <v>60</v>
      </c>
      <c r="B48" s="7" t="s">
        <v>65</v>
      </c>
      <c r="C48" s="36">
        <v>43</v>
      </c>
      <c r="D48" s="7">
        <f>COUNTIF(F:F,B48)</f>
        <v>0</v>
      </c>
      <c r="E48" s="7">
        <f t="shared" si="0"/>
        <v>43</v>
      </c>
    </row>
    <row r="49" s="1" customFormat="1" ht="22.5" customHeight="1" spans="1:5">
      <c r="A49" s="37"/>
      <c r="B49" s="7"/>
      <c r="C49" s="7">
        <f>SUM(C40:C48)</f>
        <v>7498</v>
      </c>
      <c r="D49" s="7">
        <f>SUM(D40:D48)</f>
        <v>22</v>
      </c>
      <c r="E49" s="7">
        <f>SUM(E40:E48)</f>
        <v>7476</v>
      </c>
    </row>
    <row r="50" s="1" customFormat="1" ht="22.5" customHeight="1"/>
  </sheetData>
  <sortState ref="B5:H26">
    <sortCondition ref="B5:B26"/>
  </sortState>
  <mergeCells count="15">
    <mergeCell ref="A1:G1"/>
    <mergeCell ref="A2:G2"/>
    <mergeCell ref="A3:G3"/>
    <mergeCell ref="B31:E31"/>
    <mergeCell ref="B32:E32"/>
    <mergeCell ref="B33:E33"/>
    <mergeCell ref="B34:E34"/>
    <mergeCell ref="B35:E35"/>
    <mergeCell ref="B36:E36"/>
    <mergeCell ref="B37:E37"/>
    <mergeCell ref="B38:E38"/>
    <mergeCell ref="A31:A32"/>
    <mergeCell ref="A33:A34"/>
    <mergeCell ref="A35:A36"/>
    <mergeCell ref="A37:A38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pageSetUpPr fitToPage="1"/>
  </sheetPr>
  <dimension ref="A1:H46"/>
  <sheetViews>
    <sheetView view="pageBreakPreview" zoomScaleNormal="100" topLeftCell="A31" workbookViewId="0">
      <selection activeCell="C5" sqref="C5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10</v>
      </c>
    </row>
    <row r="5" s="1" customFormat="1" ht="21" customHeight="1" spans="1:8">
      <c r="A5" s="11">
        <v>1</v>
      </c>
      <c r="B5" s="109">
        <v>1791</v>
      </c>
      <c r="C5" s="109" t="s">
        <v>360</v>
      </c>
      <c r="D5" s="109" t="s">
        <v>361</v>
      </c>
      <c r="E5" s="109" t="s">
        <v>361</v>
      </c>
      <c r="F5" s="108" t="s">
        <v>13</v>
      </c>
      <c r="G5" s="14">
        <v>1</v>
      </c>
      <c r="H5" s="11"/>
    </row>
    <row r="6" s="1" customFormat="1" ht="22.5" customHeight="1" spans="1:8">
      <c r="A6" s="11">
        <v>2</v>
      </c>
      <c r="B6" s="75"/>
      <c r="C6" s="109"/>
      <c r="D6" s="75"/>
      <c r="E6" s="75"/>
      <c r="F6" s="108"/>
      <c r="G6" s="14">
        <v>1</v>
      </c>
      <c r="H6" s="7"/>
    </row>
    <row r="7" s="1" customFormat="1" ht="22.5" customHeight="1" spans="1:8">
      <c r="A7" s="11">
        <v>3</v>
      </c>
      <c r="B7" s="109"/>
      <c r="C7" s="109"/>
      <c r="D7" s="109"/>
      <c r="E7" s="109"/>
      <c r="F7" s="108"/>
      <c r="G7" s="14">
        <v>1</v>
      </c>
      <c r="H7" s="7"/>
    </row>
    <row r="8" s="1" customFormat="1" ht="22.5" customHeight="1" spans="1:8">
      <c r="A8" s="11">
        <v>4</v>
      </c>
      <c r="B8" s="75"/>
      <c r="C8" s="109"/>
      <c r="D8" s="75"/>
      <c r="E8" s="75"/>
      <c r="F8" s="108"/>
      <c r="G8" s="14">
        <v>1</v>
      </c>
      <c r="H8" s="7"/>
    </row>
    <row r="9" s="1" customFormat="1" ht="18.75" spans="1:8">
      <c r="A9" s="11">
        <v>5</v>
      </c>
      <c r="B9" s="75"/>
      <c r="C9" s="109"/>
      <c r="D9" s="75"/>
      <c r="E9" s="75"/>
      <c r="F9" s="108"/>
      <c r="G9" s="14">
        <v>1</v>
      </c>
      <c r="H9" s="7"/>
    </row>
    <row r="10" s="1" customFormat="1" ht="22.5" customHeight="1" spans="1:8">
      <c r="A10" s="11">
        <v>6</v>
      </c>
      <c r="B10" s="75"/>
      <c r="C10" s="109"/>
      <c r="D10" s="75"/>
      <c r="E10" s="75"/>
      <c r="F10" s="108"/>
      <c r="G10" s="14">
        <v>1</v>
      </c>
      <c r="H10" s="7"/>
    </row>
    <row r="11" s="1" customFormat="1" ht="22.5" customHeight="1" spans="1:8">
      <c r="A11" s="11">
        <v>7</v>
      </c>
      <c r="B11" s="73"/>
      <c r="C11" s="73"/>
      <c r="D11" s="74"/>
      <c r="E11" s="74"/>
      <c r="F11" s="108"/>
      <c r="G11" s="14">
        <v>1</v>
      </c>
      <c r="H11" s="7"/>
    </row>
    <row r="12" s="1" customFormat="1" ht="22.5" customHeight="1" spans="1:8">
      <c r="A12" s="11">
        <v>8</v>
      </c>
      <c r="B12" s="75"/>
      <c r="C12" s="75"/>
      <c r="D12" s="75"/>
      <c r="E12" s="75"/>
      <c r="F12" s="108"/>
      <c r="G12" s="14">
        <v>1</v>
      </c>
      <c r="H12" s="7"/>
    </row>
    <row r="13" s="1" customFormat="1" ht="22.5" customHeight="1" spans="1:8">
      <c r="A13" s="11">
        <v>9</v>
      </c>
      <c r="B13" s="75"/>
      <c r="C13" s="75"/>
      <c r="D13" s="75"/>
      <c r="E13" s="75"/>
      <c r="F13" s="108"/>
      <c r="G13" s="14">
        <v>1</v>
      </c>
      <c r="H13" s="7"/>
    </row>
    <row r="14" s="1" customFormat="1" ht="22.5" customHeight="1" spans="1:8">
      <c r="A14" s="11">
        <v>10</v>
      </c>
      <c r="B14" s="75"/>
      <c r="C14" s="75"/>
      <c r="D14" s="75"/>
      <c r="E14" s="75"/>
      <c r="F14" s="108"/>
      <c r="G14" s="14">
        <v>1</v>
      </c>
      <c r="H14" s="7"/>
    </row>
    <row r="15" s="1" customFormat="1" ht="22.5" customHeight="1" spans="1:8">
      <c r="A15" s="11">
        <v>11</v>
      </c>
      <c r="B15" s="110"/>
      <c r="C15" s="110"/>
      <c r="D15" s="111"/>
      <c r="E15" s="111"/>
      <c r="F15" s="112"/>
      <c r="G15" s="14">
        <v>1</v>
      </c>
      <c r="H15" s="7"/>
    </row>
    <row r="16" s="1" customFormat="1" ht="22.5" customHeight="1" spans="1:8">
      <c r="A16" s="11">
        <v>12</v>
      </c>
      <c r="B16" s="109"/>
      <c r="C16" s="109"/>
      <c r="D16" s="109"/>
      <c r="E16" s="109"/>
      <c r="F16" s="108"/>
      <c r="G16" s="14">
        <v>1</v>
      </c>
      <c r="H16" s="7"/>
    </row>
    <row r="17" s="1" customFormat="1" ht="22.5" customHeight="1" spans="1:8">
      <c r="A17" s="11">
        <v>13</v>
      </c>
      <c r="B17" s="109"/>
      <c r="C17" s="109"/>
      <c r="D17" s="109"/>
      <c r="E17" s="109"/>
      <c r="F17" s="108"/>
      <c r="G17" s="14">
        <v>1</v>
      </c>
      <c r="H17" s="7"/>
    </row>
    <row r="18" s="1" customFormat="1" ht="22.5" customHeight="1" spans="1:8">
      <c r="A18" s="11">
        <v>14</v>
      </c>
      <c r="B18" s="109"/>
      <c r="C18" s="109"/>
      <c r="D18" s="109"/>
      <c r="E18" s="109"/>
      <c r="F18" s="108"/>
      <c r="G18" s="14">
        <v>1</v>
      </c>
      <c r="H18" s="7"/>
    </row>
    <row r="19" s="1" customFormat="1" ht="22.5" customHeight="1" spans="1:8">
      <c r="A19" s="11">
        <v>15</v>
      </c>
      <c r="B19" s="75"/>
      <c r="C19" s="75"/>
      <c r="D19" s="75"/>
      <c r="E19" s="75"/>
      <c r="F19" s="112"/>
      <c r="G19" s="9">
        <v>1</v>
      </c>
      <c r="H19" s="7"/>
    </row>
    <row r="20" ht="22.5" customHeight="1" spans="1:8">
      <c r="A20" s="113">
        <v>16</v>
      </c>
      <c r="B20" s="75"/>
      <c r="C20" s="75"/>
      <c r="D20" s="75"/>
      <c r="E20" s="75"/>
      <c r="F20" s="112"/>
      <c r="G20" s="9"/>
      <c r="H20" s="114"/>
    </row>
    <row r="21" ht="22.5" customHeight="1" spans="1:8">
      <c r="A21" s="115"/>
      <c r="B21" s="116"/>
      <c r="C21" s="116"/>
      <c r="D21" s="117"/>
      <c r="E21" s="117"/>
      <c r="F21" s="117"/>
      <c r="G21" s="118"/>
      <c r="H21" s="114"/>
    </row>
    <row r="22" ht="22.5" customHeight="1" spans="1:8">
      <c r="A22" s="115"/>
      <c r="B22" s="116"/>
      <c r="C22" s="116"/>
      <c r="D22" s="117"/>
      <c r="E22" s="117"/>
      <c r="F22" s="117"/>
      <c r="G22" s="118"/>
      <c r="H22" s="114"/>
    </row>
    <row r="23" s="1" customFormat="1" ht="22.5" customHeight="1" spans="1:8">
      <c r="A23" s="103"/>
      <c r="B23" s="104"/>
      <c r="C23" s="104"/>
      <c r="D23" s="104"/>
      <c r="E23" s="104"/>
      <c r="F23" s="104"/>
      <c r="G23" s="105"/>
      <c r="H23" s="23"/>
    </row>
    <row r="24" s="1" customFormat="1" ht="22.5" customHeight="1" spans="1:8">
      <c r="A24" s="103"/>
      <c r="B24" s="104"/>
      <c r="C24" s="104"/>
      <c r="D24" s="104"/>
      <c r="E24" s="104"/>
      <c r="F24" s="104"/>
      <c r="G24" s="104"/>
      <c r="H24" s="23"/>
    </row>
    <row r="25" s="1" customFormat="1" ht="22.5" customHeight="1" spans="1:7">
      <c r="A25" s="19" t="s">
        <v>47</v>
      </c>
      <c r="B25" s="20"/>
      <c r="C25" s="20"/>
      <c r="D25" s="20"/>
      <c r="E25" s="20"/>
      <c r="F25" s="20"/>
      <c r="G25" s="20"/>
    </row>
    <row r="26" s="1" customFormat="1" ht="22.5" customHeight="1" spans="1:8">
      <c r="A26" s="21" t="s">
        <v>48</v>
      </c>
      <c r="B26" s="22"/>
      <c r="C26" s="22"/>
      <c r="D26" s="22"/>
      <c r="E26" s="23"/>
      <c r="F26" s="24"/>
      <c r="G26" s="24"/>
      <c r="H26" s="7"/>
    </row>
    <row r="27" s="1" customFormat="1" ht="22.5" customHeight="1" spans="1:8">
      <c r="A27" s="7" t="s">
        <v>49</v>
      </c>
      <c r="B27" s="7" t="s">
        <v>50</v>
      </c>
      <c r="C27" s="7"/>
      <c r="D27" s="7"/>
      <c r="E27" s="7"/>
      <c r="F27" s="24"/>
      <c r="G27" s="24"/>
      <c r="H27" s="7"/>
    </row>
    <row r="28" s="1" customFormat="1" ht="22.5" customHeight="1" spans="1:8">
      <c r="A28" s="7"/>
      <c r="B28" s="7" t="s">
        <v>51</v>
      </c>
      <c r="C28" s="7"/>
      <c r="D28" s="7"/>
      <c r="E28" s="7"/>
      <c r="F28" s="24"/>
      <c r="G28" s="24"/>
      <c r="H28" s="7"/>
    </row>
    <row r="29" s="1" customFormat="1" ht="22.5" customHeight="1" spans="1:8">
      <c r="A29" s="25" t="s">
        <v>52</v>
      </c>
      <c r="B29" s="26" t="s">
        <v>53</v>
      </c>
      <c r="C29" s="27"/>
      <c r="D29" s="27"/>
      <c r="E29" s="28"/>
      <c r="F29" s="24"/>
      <c r="G29" s="24"/>
      <c r="H29" s="7"/>
    </row>
    <row r="30" s="1" customFormat="1" ht="22.5" customHeight="1" spans="1:8">
      <c r="A30" s="29"/>
      <c r="B30" s="30" t="s">
        <v>54</v>
      </c>
      <c r="C30" s="31"/>
      <c r="D30" s="31"/>
      <c r="E30" s="32"/>
      <c r="F30" s="24"/>
      <c r="G30" s="24"/>
      <c r="H30" s="7"/>
    </row>
    <row r="31" s="1" customFormat="1" ht="22.5" customHeight="1" spans="1:8">
      <c r="A31" s="17" t="s">
        <v>55</v>
      </c>
      <c r="B31" s="7" t="s">
        <v>56</v>
      </c>
      <c r="C31" s="7"/>
      <c r="D31" s="7"/>
      <c r="E31" s="7"/>
      <c r="F31" s="24"/>
      <c r="G31" s="24"/>
      <c r="H31" s="7"/>
    </row>
    <row r="32" s="1" customFormat="1" ht="22.5" customHeight="1" spans="1:8">
      <c r="A32" s="17"/>
      <c r="B32" s="7" t="s">
        <v>56</v>
      </c>
      <c r="C32" s="7"/>
      <c r="D32" s="7"/>
      <c r="E32" s="7"/>
      <c r="F32" s="24"/>
      <c r="G32" s="24"/>
      <c r="H32" s="7"/>
    </row>
    <row r="33" s="1" customFormat="1" ht="22.5" customHeight="1" spans="1:8">
      <c r="A33" s="17" t="s">
        <v>57</v>
      </c>
      <c r="B33" s="7" t="s">
        <v>58</v>
      </c>
      <c r="C33" s="7"/>
      <c r="D33" s="7"/>
      <c r="E33" s="7"/>
      <c r="F33" s="24"/>
      <c r="G33" s="24"/>
      <c r="H33" s="7"/>
    </row>
    <row r="34" s="1" customFormat="1" ht="22.5" customHeight="1" spans="1:8">
      <c r="A34" s="17"/>
      <c r="B34" s="7" t="s">
        <v>59</v>
      </c>
      <c r="C34" s="7"/>
      <c r="D34" s="7"/>
      <c r="E34" s="7"/>
      <c r="F34" s="24"/>
      <c r="G34" s="24"/>
      <c r="H34" s="7"/>
    </row>
    <row r="35" s="1" customFormat="1" ht="22.5" customHeight="1"/>
    <row r="36" s="1" customFormat="1" ht="22.5" customHeight="1" spans="1:5">
      <c r="A36" s="33" t="s">
        <v>60</v>
      </c>
      <c r="B36" s="7" t="s">
        <v>61</v>
      </c>
      <c r="C36" s="34">
        <v>1</v>
      </c>
      <c r="D36" s="7">
        <f>COUNTIF(F:F,B36)</f>
        <v>0</v>
      </c>
      <c r="E36" s="7">
        <f t="shared" ref="E36:E44" si="0">C36-D36</f>
        <v>1</v>
      </c>
    </row>
    <row r="37" s="1" customFormat="1" ht="22.5" customHeight="1" spans="1:5">
      <c r="A37" s="33" t="s">
        <v>60</v>
      </c>
      <c r="B37" s="7" t="s">
        <v>27</v>
      </c>
      <c r="C37" s="34">
        <v>968</v>
      </c>
      <c r="D37" s="7">
        <f>COUNTIF(F:F,B37)</f>
        <v>0</v>
      </c>
      <c r="E37" s="7">
        <f t="shared" si="0"/>
        <v>968</v>
      </c>
    </row>
    <row r="38" s="1" customFormat="1" ht="22.5" customHeight="1" spans="1:5">
      <c r="A38" s="33" t="s">
        <v>60</v>
      </c>
      <c r="B38" s="7" t="s">
        <v>21</v>
      </c>
      <c r="C38" s="35">
        <v>402</v>
      </c>
      <c r="D38" s="7">
        <f>COUNTIF(F:F,B38)</f>
        <v>0</v>
      </c>
      <c r="E38" s="7">
        <f t="shared" si="0"/>
        <v>402</v>
      </c>
    </row>
    <row r="39" s="1" customFormat="1" ht="22.5" customHeight="1" spans="1:5">
      <c r="A39" s="33" t="s">
        <v>60</v>
      </c>
      <c r="B39" s="17" t="s">
        <v>62</v>
      </c>
      <c r="C39" s="35">
        <v>82</v>
      </c>
      <c r="D39" s="7">
        <f>COUNTIF(F:F,"再就业")+COUNTIF(F:F,"小贷")</f>
        <v>0</v>
      </c>
      <c r="E39" s="7">
        <f t="shared" si="0"/>
        <v>82</v>
      </c>
    </row>
    <row r="40" s="1" customFormat="1" ht="22.5" customHeight="1" spans="1:5">
      <c r="A40" s="33" t="s">
        <v>60</v>
      </c>
      <c r="B40" s="17" t="s">
        <v>63</v>
      </c>
      <c r="C40" s="35">
        <v>1</v>
      </c>
      <c r="D40" s="7">
        <f>COUNTIF(F:F,B40)</f>
        <v>0</v>
      </c>
      <c r="E40" s="7">
        <f t="shared" si="0"/>
        <v>1</v>
      </c>
    </row>
    <row r="41" s="1" customFormat="1" ht="22.5" customHeight="1" spans="1:5">
      <c r="A41" s="33" t="s">
        <v>60</v>
      </c>
      <c r="B41" s="7" t="s">
        <v>64</v>
      </c>
      <c r="C41" s="35">
        <v>615</v>
      </c>
      <c r="D41" s="7">
        <f>COUNTIF(F:F,B41)</f>
        <v>0</v>
      </c>
      <c r="E41" s="7">
        <f t="shared" si="0"/>
        <v>615</v>
      </c>
    </row>
    <row r="42" s="1" customFormat="1" ht="22.5" customHeight="1" spans="1:5">
      <c r="A42" s="33" t="s">
        <v>60</v>
      </c>
      <c r="B42" s="7" t="s">
        <v>13</v>
      </c>
      <c r="C42" s="35">
        <v>914</v>
      </c>
      <c r="D42" s="7">
        <f>COUNTIF(F:F,B42)</f>
        <v>1</v>
      </c>
      <c r="E42" s="7">
        <f t="shared" si="0"/>
        <v>913</v>
      </c>
    </row>
    <row r="43" s="1" customFormat="1" ht="22.5" customHeight="1" spans="1:5">
      <c r="A43" s="33" t="s">
        <v>60</v>
      </c>
      <c r="B43" s="7" t="s">
        <v>31</v>
      </c>
      <c r="C43" s="35">
        <v>4472</v>
      </c>
      <c r="D43" s="7">
        <f>COUNTIF(F:F,B43)</f>
        <v>0</v>
      </c>
      <c r="E43" s="7">
        <f t="shared" si="0"/>
        <v>4472</v>
      </c>
    </row>
    <row r="44" s="1" customFormat="1" ht="22.5" customHeight="1" spans="1:5">
      <c r="A44" s="33" t="s">
        <v>60</v>
      </c>
      <c r="B44" s="7" t="s">
        <v>65</v>
      </c>
      <c r="C44" s="36">
        <v>43</v>
      </c>
      <c r="D44" s="7">
        <f>COUNTIF(F:F,B44)</f>
        <v>0</v>
      </c>
      <c r="E44" s="7">
        <f t="shared" si="0"/>
        <v>43</v>
      </c>
    </row>
    <row r="45" s="1" customFormat="1" ht="22.5" customHeight="1" spans="1:5">
      <c r="A45" s="37"/>
      <c r="B45" s="7"/>
      <c r="C45" s="7">
        <f>SUM(C36:C44)</f>
        <v>7498</v>
      </c>
      <c r="D45" s="7">
        <f>SUM(D36:D44)</f>
        <v>1</v>
      </c>
      <c r="E45" s="7">
        <f>SUM(E36:E44)</f>
        <v>7497</v>
      </c>
    </row>
    <row r="46" s="1" customFormat="1" ht="22.5" customHeight="1"/>
  </sheetData>
  <mergeCells count="15">
    <mergeCell ref="A1:G1"/>
    <mergeCell ref="A2:G2"/>
    <mergeCell ref="A3:G3"/>
    <mergeCell ref="B27:E27"/>
    <mergeCell ref="B28:E28"/>
    <mergeCell ref="B29:E29"/>
    <mergeCell ref="B30:E30"/>
    <mergeCell ref="B31:E31"/>
    <mergeCell ref="B32:E32"/>
    <mergeCell ref="B33:E33"/>
    <mergeCell ref="B34:E34"/>
    <mergeCell ref="A27:A28"/>
    <mergeCell ref="A29:A30"/>
    <mergeCell ref="A31:A32"/>
    <mergeCell ref="A33:A34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H40"/>
  <sheetViews>
    <sheetView view="pageBreakPreview" zoomScaleNormal="100" topLeftCell="A34" workbookViewId="0">
      <selection activeCell="E36" sqref="E36"/>
    </sheetView>
  </sheetViews>
  <sheetFormatPr defaultColWidth="9" defaultRowHeight="14.25" outlineLevelCol="7"/>
  <cols>
    <col min="1" max="1" width="5" style="38" customWidth="1"/>
    <col min="2" max="2" width="7.125" style="38" customWidth="1"/>
    <col min="3" max="3" width="24.125" style="39" customWidth="1"/>
    <col min="4" max="4" width="8" style="40" customWidth="1"/>
    <col min="5" max="5" width="11.875" style="40" customWidth="1"/>
    <col min="6" max="6" width="8.75" style="38" customWidth="1"/>
    <col min="7" max="7" width="5.375" style="38" customWidth="1"/>
    <col min="8" max="8" width="10.25" style="41" customWidth="1"/>
    <col min="9" max="12" width="9" style="41"/>
    <col min="13" max="13" width="0.5" style="41" customWidth="1"/>
    <col min="14" max="17" width="9" style="41" hidden="1"/>
    <col min="18" max="16384" width="9" style="41"/>
  </cols>
  <sheetData>
    <row r="1" ht="21" customHeight="1" spans="1:8">
      <c r="A1" s="42" t="s">
        <v>0</v>
      </c>
      <c r="B1" s="43"/>
      <c r="C1" s="43"/>
      <c r="D1" s="43"/>
      <c r="E1" s="43"/>
      <c r="F1" s="43"/>
      <c r="G1" s="43"/>
      <c r="H1" s="44"/>
    </row>
    <row r="2" ht="21" customHeight="1" spans="1:8">
      <c r="A2" s="45" t="s">
        <v>1</v>
      </c>
      <c r="B2" s="46"/>
      <c r="C2" s="47"/>
      <c r="D2" s="46"/>
      <c r="E2" s="46"/>
      <c r="F2" s="46"/>
      <c r="G2" s="46"/>
      <c r="H2" s="48"/>
    </row>
    <row r="3" ht="21" customHeight="1" spans="1:8">
      <c r="A3" s="49" t="s">
        <v>2</v>
      </c>
      <c r="B3" s="50"/>
      <c r="C3" s="51"/>
      <c r="D3" s="50"/>
      <c r="E3" s="50"/>
      <c r="F3" s="50"/>
      <c r="G3" s="50"/>
      <c r="H3" s="48"/>
    </row>
    <row r="4" ht="40" customHeight="1" spans="1:8">
      <c r="A4" s="52" t="s">
        <v>3</v>
      </c>
      <c r="B4" s="53" t="s">
        <v>4</v>
      </c>
      <c r="C4" s="53" t="s">
        <v>5</v>
      </c>
      <c r="D4" s="53" t="s">
        <v>279</v>
      </c>
      <c r="E4" s="53" t="s">
        <v>7</v>
      </c>
      <c r="F4" s="54" t="s">
        <v>280</v>
      </c>
      <c r="G4" s="55" t="s">
        <v>9</v>
      </c>
      <c r="H4" s="23" t="s">
        <v>281</v>
      </c>
    </row>
    <row r="5" ht="24" customHeight="1" spans="1:8">
      <c r="A5" s="56">
        <v>1</v>
      </c>
      <c r="B5" s="57">
        <v>2036</v>
      </c>
      <c r="C5" s="119" t="s">
        <v>362</v>
      </c>
      <c r="D5" s="119" t="s">
        <v>363</v>
      </c>
      <c r="E5" s="119" t="s">
        <v>363</v>
      </c>
      <c r="F5" s="59" t="s">
        <v>13</v>
      </c>
      <c r="G5" s="60">
        <v>1</v>
      </c>
      <c r="H5" s="64"/>
    </row>
    <row r="6" ht="24" customHeight="1" spans="1:8">
      <c r="A6" s="56">
        <v>2</v>
      </c>
      <c r="B6" s="120">
        <v>9674</v>
      </c>
      <c r="C6" s="121" t="s">
        <v>364</v>
      </c>
      <c r="D6" s="68" t="s">
        <v>365</v>
      </c>
      <c r="E6" s="68" t="s">
        <v>366</v>
      </c>
      <c r="F6" s="59" t="s">
        <v>31</v>
      </c>
      <c r="G6" s="60">
        <v>1</v>
      </c>
      <c r="H6" s="61"/>
    </row>
    <row r="7" ht="24" customHeight="1" spans="1:8">
      <c r="A7" s="56">
        <v>3</v>
      </c>
      <c r="B7" s="65">
        <v>10314</v>
      </c>
      <c r="C7" s="122" t="s">
        <v>367</v>
      </c>
      <c r="D7" s="68" t="s">
        <v>368</v>
      </c>
      <c r="E7" s="68" t="s">
        <v>368</v>
      </c>
      <c r="F7" s="59" t="s">
        <v>31</v>
      </c>
      <c r="G7" s="60">
        <v>1</v>
      </c>
      <c r="H7" s="61"/>
    </row>
    <row r="8" ht="24" customHeight="1" spans="1:8">
      <c r="A8" s="56">
        <v>5</v>
      </c>
      <c r="B8" s="57">
        <v>13402</v>
      </c>
      <c r="C8" s="72" t="s">
        <v>369</v>
      </c>
      <c r="D8" s="68" t="s">
        <v>370</v>
      </c>
      <c r="E8" s="68" t="s">
        <v>371</v>
      </c>
      <c r="F8" s="59" t="s">
        <v>31</v>
      </c>
      <c r="G8" s="60">
        <v>1</v>
      </c>
      <c r="H8" s="61"/>
    </row>
    <row r="9" ht="24" customHeight="1" spans="1:8">
      <c r="A9" s="56">
        <v>6</v>
      </c>
      <c r="B9" s="120">
        <v>13805</v>
      </c>
      <c r="C9" s="58" t="s">
        <v>372</v>
      </c>
      <c r="D9" s="59" t="s">
        <v>373</v>
      </c>
      <c r="E9" s="107" t="s">
        <v>374</v>
      </c>
      <c r="F9" s="59" t="s">
        <v>31</v>
      </c>
      <c r="G9" s="60">
        <v>1</v>
      </c>
      <c r="H9" s="61"/>
    </row>
    <row r="10" ht="24" customHeight="1" spans="1:8">
      <c r="A10" s="56">
        <v>7</v>
      </c>
      <c r="B10" s="120">
        <v>13955</v>
      </c>
      <c r="C10" s="121" t="s">
        <v>375</v>
      </c>
      <c r="D10" s="120" t="s">
        <v>376</v>
      </c>
      <c r="E10" s="60" t="s">
        <v>377</v>
      </c>
      <c r="F10" s="59" t="s">
        <v>31</v>
      </c>
      <c r="G10" s="60">
        <v>1</v>
      </c>
      <c r="H10" s="61"/>
    </row>
    <row r="11" ht="24" customHeight="1" spans="1:8">
      <c r="A11" s="56">
        <v>9</v>
      </c>
      <c r="B11" s="120">
        <v>15042</v>
      </c>
      <c r="C11" s="123" t="s">
        <v>378</v>
      </c>
      <c r="D11" s="121" t="s">
        <v>379</v>
      </c>
      <c r="E11" s="124" t="s">
        <v>379</v>
      </c>
      <c r="F11" s="59" t="s">
        <v>31</v>
      </c>
      <c r="G11" s="60">
        <v>1</v>
      </c>
      <c r="H11" s="61"/>
    </row>
    <row r="12" ht="24" customHeight="1" spans="1:8">
      <c r="A12" s="56">
        <v>10</v>
      </c>
      <c r="B12" s="65"/>
      <c r="C12" s="66"/>
      <c r="D12" s="68"/>
      <c r="E12" s="68"/>
      <c r="F12" s="59"/>
      <c r="G12" s="60">
        <v>1</v>
      </c>
      <c r="H12" s="61"/>
    </row>
    <row r="13" ht="24" customHeight="1" spans="1:8">
      <c r="A13" s="56">
        <v>11</v>
      </c>
      <c r="B13" s="65"/>
      <c r="C13" s="66"/>
      <c r="D13" s="68"/>
      <c r="E13" s="68"/>
      <c r="F13" s="59"/>
      <c r="G13" s="60">
        <v>1</v>
      </c>
      <c r="H13" s="61"/>
    </row>
    <row r="14" ht="24" customHeight="1" spans="1:8">
      <c r="A14" s="56">
        <v>12</v>
      </c>
      <c r="B14" s="71"/>
      <c r="C14" s="72"/>
      <c r="D14" s="68"/>
      <c r="E14" s="68"/>
      <c r="F14" s="59"/>
      <c r="G14" s="60">
        <v>1</v>
      </c>
      <c r="H14" s="61"/>
    </row>
    <row r="15" ht="24" customHeight="1" spans="1:8">
      <c r="A15" s="56">
        <v>13</v>
      </c>
      <c r="B15" s="63"/>
      <c r="C15" s="58"/>
      <c r="D15" s="59"/>
      <c r="E15" s="107"/>
      <c r="F15" s="59"/>
      <c r="G15" s="60">
        <v>1</v>
      </c>
      <c r="H15" s="61"/>
    </row>
    <row r="16" ht="24" customHeight="1" spans="1:8">
      <c r="A16" s="56">
        <v>14</v>
      </c>
      <c r="B16" s="65"/>
      <c r="C16" s="66"/>
      <c r="D16" s="68"/>
      <c r="E16" s="68"/>
      <c r="F16" s="59"/>
      <c r="G16" s="60">
        <v>1</v>
      </c>
      <c r="H16" s="61"/>
    </row>
    <row r="17" ht="13" customHeight="1" spans="1:8">
      <c r="A17" s="56"/>
      <c r="B17" s="57"/>
      <c r="C17" s="57"/>
      <c r="D17" s="57"/>
      <c r="E17" s="65"/>
      <c r="F17" s="68"/>
      <c r="G17" s="60"/>
      <c r="H17" s="61"/>
    </row>
    <row r="18" ht="15" customHeight="1" spans="1:8">
      <c r="A18" s="56"/>
      <c r="B18" s="73"/>
      <c r="C18" s="73"/>
      <c r="D18" s="74"/>
      <c r="E18" s="75"/>
      <c r="F18" s="76"/>
      <c r="G18" s="55"/>
      <c r="H18" s="48"/>
    </row>
    <row r="19" ht="21" customHeight="1" spans="1:8">
      <c r="A19" s="77" t="s">
        <v>291</v>
      </c>
      <c r="B19" s="77"/>
      <c r="C19" s="78"/>
      <c r="D19" s="77"/>
      <c r="E19" s="77"/>
      <c r="F19" s="79"/>
      <c r="G19" s="77"/>
      <c r="H19" s="48"/>
    </row>
    <row r="20" ht="26" customHeight="1" spans="1:8">
      <c r="A20" s="80" t="s">
        <v>292</v>
      </c>
      <c r="B20" s="81"/>
      <c r="C20" s="82" t="s">
        <v>293</v>
      </c>
      <c r="D20" s="83"/>
      <c r="E20" s="83"/>
      <c r="F20" s="83"/>
      <c r="G20" s="83"/>
      <c r="H20" s="84"/>
    </row>
    <row r="21" ht="24" customHeight="1" spans="1:8">
      <c r="A21" s="85"/>
      <c r="B21" s="86"/>
      <c r="C21" s="82" t="s">
        <v>294</v>
      </c>
      <c r="D21" s="83"/>
      <c r="E21" s="83"/>
      <c r="F21" s="83"/>
      <c r="G21" s="83"/>
      <c r="H21" s="84"/>
    </row>
    <row r="22" ht="24" customHeight="1" spans="1:8">
      <c r="A22" s="87"/>
      <c r="B22" s="88"/>
      <c r="C22" s="82" t="s">
        <v>295</v>
      </c>
      <c r="D22" s="83"/>
      <c r="E22" s="83"/>
      <c r="F22" s="83"/>
      <c r="G22" s="83"/>
      <c r="H22" s="84"/>
    </row>
    <row r="23" ht="32" customHeight="1" spans="1:8">
      <c r="A23" s="89" t="s">
        <v>52</v>
      </c>
      <c r="B23" s="89"/>
      <c r="C23" s="90" t="s">
        <v>296</v>
      </c>
      <c r="D23" s="90"/>
      <c r="E23" s="90"/>
      <c r="F23" s="90"/>
      <c r="G23" s="90"/>
      <c r="H23" s="90"/>
    </row>
    <row r="24" ht="25" customHeight="1" spans="1:8">
      <c r="A24" s="89" t="s">
        <v>297</v>
      </c>
      <c r="B24" s="89"/>
      <c r="C24" s="91" t="s">
        <v>298</v>
      </c>
      <c r="D24" s="91"/>
      <c r="E24" s="91"/>
      <c r="F24" s="91"/>
      <c r="G24" s="91"/>
      <c r="H24" s="91"/>
    </row>
    <row r="25" ht="27" customHeight="1" spans="1:8">
      <c r="A25" s="89"/>
      <c r="B25" s="89"/>
      <c r="C25" s="92" t="s">
        <v>299</v>
      </c>
      <c r="D25" s="93"/>
      <c r="E25" s="93"/>
      <c r="F25" s="93"/>
      <c r="G25" s="93"/>
      <c r="H25" s="94"/>
    </row>
    <row r="26" ht="24" customHeight="1" spans="1:8">
      <c r="A26" s="95" t="s">
        <v>292</v>
      </c>
      <c r="B26" s="96"/>
      <c r="C26" s="92" t="s">
        <v>300</v>
      </c>
      <c r="D26" s="97"/>
      <c r="E26" s="97"/>
      <c r="F26" s="97"/>
      <c r="G26" s="97"/>
      <c r="H26" s="98"/>
    </row>
    <row r="27" ht="24" customHeight="1" spans="1:8">
      <c r="A27" s="99"/>
      <c r="B27" s="100"/>
      <c r="C27" s="92" t="s">
        <v>301</v>
      </c>
      <c r="D27" s="97"/>
      <c r="E27" s="97"/>
      <c r="F27" s="97"/>
      <c r="G27" s="97"/>
      <c r="H27" s="98"/>
    </row>
    <row r="28" ht="21" customHeight="1" spans="1:7">
      <c r="A28" s="96"/>
      <c r="B28" s="96"/>
      <c r="D28" s="96"/>
      <c r="E28" s="96"/>
      <c r="F28" s="39"/>
      <c r="G28" s="39"/>
    </row>
    <row r="29" ht="21" customHeight="1" spans="1:7">
      <c r="A29" s="96"/>
      <c r="B29" s="96"/>
      <c r="D29" s="96"/>
      <c r="E29" s="96"/>
      <c r="F29" s="39"/>
      <c r="G29" s="39"/>
    </row>
    <row r="31" ht="21" customHeight="1" spans="1:7">
      <c r="A31" s="33" t="s">
        <v>60</v>
      </c>
      <c r="B31" s="7" t="s">
        <v>61</v>
      </c>
      <c r="C31" s="34">
        <v>1</v>
      </c>
      <c r="D31" s="7">
        <f>COUNTIF(F:F,B31)</f>
        <v>0</v>
      </c>
      <c r="E31" s="7">
        <f t="shared" ref="E31:E39" si="0">C31-D31</f>
        <v>1</v>
      </c>
      <c r="G31" s="41"/>
    </row>
    <row r="32" ht="21" customHeight="1" spans="1:7">
      <c r="A32" s="33" t="s">
        <v>60</v>
      </c>
      <c r="B32" s="7" t="s">
        <v>27</v>
      </c>
      <c r="C32" s="34">
        <v>968</v>
      </c>
      <c r="D32" s="7">
        <f>COUNTIF(F:F,B32)</f>
        <v>0</v>
      </c>
      <c r="E32" s="7">
        <f t="shared" si="0"/>
        <v>968</v>
      </c>
      <c r="G32" s="41"/>
    </row>
    <row r="33" ht="21" customHeight="1" spans="1:7">
      <c r="A33" s="33" t="s">
        <v>60</v>
      </c>
      <c r="B33" s="7" t="s">
        <v>21</v>
      </c>
      <c r="C33" s="35">
        <v>402</v>
      </c>
      <c r="D33" s="7">
        <f>COUNTIF(F:F,B33)</f>
        <v>0</v>
      </c>
      <c r="E33" s="7">
        <f t="shared" si="0"/>
        <v>402</v>
      </c>
      <c r="G33" s="41"/>
    </row>
    <row r="34" ht="21" customHeight="1" spans="1:7">
      <c r="A34" s="33" t="s">
        <v>60</v>
      </c>
      <c r="B34" s="17" t="s">
        <v>62</v>
      </c>
      <c r="C34" s="35">
        <v>82</v>
      </c>
      <c r="D34" s="7">
        <f>COUNTIF(F:F,"再就业")+COUNTIF(F:F,"小贷")</f>
        <v>0</v>
      </c>
      <c r="E34" s="7">
        <f t="shared" si="0"/>
        <v>82</v>
      </c>
      <c r="G34" s="41"/>
    </row>
    <row r="35" ht="21" customHeight="1" spans="1:7">
      <c r="A35" s="33" t="s">
        <v>60</v>
      </c>
      <c r="B35" s="17" t="s">
        <v>63</v>
      </c>
      <c r="C35" s="35">
        <v>1</v>
      </c>
      <c r="D35" s="7">
        <f>COUNTIF(F:F,B35)</f>
        <v>0</v>
      </c>
      <c r="E35" s="7">
        <f t="shared" si="0"/>
        <v>1</v>
      </c>
      <c r="G35" s="41"/>
    </row>
    <row r="36" ht="21" customHeight="1" spans="1:7">
      <c r="A36" s="33" t="s">
        <v>60</v>
      </c>
      <c r="B36" s="7" t="s">
        <v>64</v>
      </c>
      <c r="C36" s="35">
        <v>615</v>
      </c>
      <c r="D36" s="7">
        <f>COUNTIF(F:F,B36)</f>
        <v>0</v>
      </c>
      <c r="E36" s="7">
        <f t="shared" si="0"/>
        <v>615</v>
      </c>
      <c r="G36" s="41"/>
    </row>
    <row r="37" ht="21" customHeight="1" spans="1:7">
      <c r="A37" s="33" t="s">
        <v>60</v>
      </c>
      <c r="B37" s="7" t="s">
        <v>13</v>
      </c>
      <c r="C37" s="35">
        <v>914</v>
      </c>
      <c r="D37" s="7">
        <f>COUNTIF(F:F,B37)</f>
        <v>1</v>
      </c>
      <c r="E37" s="7">
        <f t="shared" si="0"/>
        <v>913</v>
      </c>
      <c r="G37" s="41"/>
    </row>
    <row r="38" ht="21" customHeight="1" spans="1:7">
      <c r="A38" s="33" t="s">
        <v>60</v>
      </c>
      <c r="B38" s="7" t="s">
        <v>31</v>
      </c>
      <c r="C38" s="35">
        <v>4472</v>
      </c>
      <c r="D38" s="7">
        <f>COUNTIF(F:F,B38)</f>
        <v>6</v>
      </c>
      <c r="E38" s="7">
        <f t="shared" si="0"/>
        <v>4466</v>
      </c>
      <c r="G38" s="41"/>
    </row>
    <row r="39" ht="21" customHeight="1" spans="1:7">
      <c r="A39" s="33" t="s">
        <v>60</v>
      </c>
      <c r="B39" s="7" t="s">
        <v>65</v>
      </c>
      <c r="C39" s="36">
        <v>43</v>
      </c>
      <c r="D39" s="7">
        <f>COUNTIF(F:F,B39)</f>
        <v>0</v>
      </c>
      <c r="E39" s="7">
        <f t="shared" si="0"/>
        <v>43</v>
      </c>
      <c r="G39" s="41"/>
    </row>
    <row r="40" ht="21" customHeight="1" spans="1:7">
      <c r="A40" s="37"/>
      <c r="B40" s="7"/>
      <c r="C40" s="7">
        <f>SUM(C31:C39)</f>
        <v>7498</v>
      </c>
      <c r="D40" s="7">
        <f>SUM(D31:D39)</f>
        <v>7</v>
      </c>
      <c r="E40" s="7">
        <f>SUM(E31:E39)</f>
        <v>7491</v>
      </c>
      <c r="G40" s="41"/>
    </row>
  </sheetData>
  <sortState ref="B5:F13">
    <sortCondition ref="B5:B13"/>
  </sortState>
  <mergeCells count="15">
    <mergeCell ref="A1:H1"/>
    <mergeCell ref="A2:G2"/>
    <mergeCell ref="A3:G3"/>
    <mergeCell ref="C20:H20"/>
    <mergeCell ref="C21:H21"/>
    <mergeCell ref="C22:H22"/>
    <mergeCell ref="A23:B23"/>
    <mergeCell ref="C23:H23"/>
    <mergeCell ref="C24:H24"/>
    <mergeCell ref="C25:H25"/>
    <mergeCell ref="C26:H26"/>
    <mergeCell ref="C27:H27"/>
    <mergeCell ref="A20:B22"/>
    <mergeCell ref="A24:B25"/>
    <mergeCell ref="A26:B27"/>
  </mergeCells>
  <pageMargins left="0.74999998873613" right="0.74999998873613" top="0.999999984981507" bottom="0.999999984981507" header="0.499999992490753" footer="0.499999992490753"/>
  <pageSetup paperSize="9" fitToHeight="0" orientation="portrait"/>
  <headerFooter/>
  <rowBreaks count="2" manualBreakCount="2">
    <brk id="27" max="16383" man="1"/>
    <brk id="4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H46"/>
  <sheetViews>
    <sheetView view="pageBreakPreview" zoomScaleNormal="100" topLeftCell="A28" workbookViewId="0">
      <selection activeCell="F40" sqref="F40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1">
      <c r="A1" s="2" t="s">
        <v>0</v>
      </c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10</v>
      </c>
    </row>
    <row r="5" s="1" customFormat="1" ht="21" customHeight="1" spans="1:8">
      <c r="A5" s="11">
        <v>1</v>
      </c>
      <c r="B5" s="109">
        <v>4346</v>
      </c>
      <c r="C5" s="109" t="s">
        <v>380</v>
      </c>
      <c r="D5" s="109" t="s">
        <v>381</v>
      </c>
      <c r="E5" s="109" t="s">
        <v>381</v>
      </c>
      <c r="F5" s="108" t="s">
        <v>27</v>
      </c>
      <c r="G5" s="14">
        <v>1</v>
      </c>
      <c r="H5" s="11"/>
    </row>
    <row r="6" s="1" customFormat="1" ht="22.5" customHeight="1" spans="1:8">
      <c r="A6" s="11">
        <v>2</v>
      </c>
      <c r="B6" s="75">
        <v>5190</v>
      </c>
      <c r="C6" s="109" t="s">
        <v>382</v>
      </c>
      <c r="D6" s="75" t="s">
        <v>383</v>
      </c>
      <c r="E6" s="75" t="s">
        <v>384</v>
      </c>
      <c r="F6" s="108" t="s">
        <v>27</v>
      </c>
      <c r="G6" s="14">
        <v>1</v>
      </c>
      <c r="H6" s="7"/>
    </row>
    <row r="7" s="1" customFormat="1" ht="22.5" customHeight="1" spans="1:8">
      <c r="A7" s="11">
        <v>3</v>
      </c>
      <c r="B7" s="109">
        <v>4601</v>
      </c>
      <c r="C7" s="109" t="s">
        <v>385</v>
      </c>
      <c r="D7" s="109" t="s">
        <v>386</v>
      </c>
      <c r="E7" s="109" t="s">
        <v>387</v>
      </c>
      <c r="F7" s="108" t="s">
        <v>64</v>
      </c>
      <c r="G7" s="14">
        <v>1</v>
      </c>
      <c r="H7" s="7"/>
    </row>
    <row r="8" s="1" customFormat="1" ht="22.5" customHeight="1" spans="1:8">
      <c r="A8" s="11">
        <v>4</v>
      </c>
      <c r="B8" s="75">
        <v>9290</v>
      </c>
      <c r="C8" s="138" t="s">
        <v>388</v>
      </c>
      <c r="D8" s="75" t="s">
        <v>389</v>
      </c>
      <c r="E8" s="75" t="s">
        <v>390</v>
      </c>
      <c r="F8" s="108" t="s">
        <v>31</v>
      </c>
      <c r="G8" s="14">
        <v>1</v>
      </c>
      <c r="H8" s="7"/>
    </row>
    <row r="9" s="1" customFormat="1" ht="18.75" spans="1:8">
      <c r="A9" s="11">
        <v>5</v>
      </c>
      <c r="B9" s="75">
        <v>10505</v>
      </c>
      <c r="C9" s="109" t="s">
        <v>391</v>
      </c>
      <c r="D9" s="75" t="s">
        <v>392</v>
      </c>
      <c r="E9" s="75" t="s">
        <v>393</v>
      </c>
      <c r="F9" s="108" t="s">
        <v>31</v>
      </c>
      <c r="G9" s="14">
        <v>1</v>
      </c>
      <c r="H9" s="7"/>
    </row>
    <row r="10" s="1" customFormat="1" ht="22.5" customHeight="1" spans="1:8">
      <c r="A10" s="11">
        <v>6</v>
      </c>
      <c r="B10" s="75">
        <v>10753</v>
      </c>
      <c r="C10" s="109" t="s">
        <v>394</v>
      </c>
      <c r="D10" s="75" t="s">
        <v>395</v>
      </c>
      <c r="E10" s="75" t="s">
        <v>396</v>
      </c>
      <c r="F10" s="108" t="s">
        <v>31</v>
      </c>
      <c r="G10" s="14">
        <v>1</v>
      </c>
      <c r="H10" s="7"/>
    </row>
    <row r="11" s="1" customFormat="1" ht="22.5" customHeight="1" spans="1:8">
      <c r="A11" s="11">
        <v>7</v>
      </c>
      <c r="B11" s="73">
        <v>11164</v>
      </c>
      <c r="C11" s="73" t="s">
        <v>397</v>
      </c>
      <c r="D11" s="74" t="s">
        <v>398</v>
      </c>
      <c r="E11" s="74" t="s">
        <v>398</v>
      </c>
      <c r="F11" s="108" t="s">
        <v>31</v>
      </c>
      <c r="G11" s="14">
        <v>1</v>
      </c>
      <c r="H11" s="7"/>
    </row>
    <row r="12" s="1" customFormat="1" ht="22.5" customHeight="1" spans="1:8">
      <c r="A12" s="11">
        <v>8</v>
      </c>
      <c r="B12" s="75">
        <v>12355</v>
      </c>
      <c r="C12" s="140" t="s">
        <v>399</v>
      </c>
      <c r="D12" s="75" t="s">
        <v>400</v>
      </c>
      <c r="E12" s="75" t="s">
        <v>401</v>
      </c>
      <c r="F12" s="108" t="s">
        <v>31</v>
      </c>
      <c r="G12" s="14">
        <v>1</v>
      </c>
      <c r="H12" s="7"/>
    </row>
    <row r="13" s="1" customFormat="1" ht="22.5" customHeight="1" spans="1:8">
      <c r="A13" s="11">
        <v>9</v>
      </c>
      <c r="B13" s="75">
        <v>13100</v>
      </c>
      <c r="C13" s="140" t="s">
        <v>402</v>
      </c>
      <c r="D13" s="75" t="s">
        <v>403</v>
      </c>
      <c r="E13" s="75" t="s">
        <v>404</v>
      </c>
      <c r="F13" s="108" t="s">
        <v>31</v>
      </c>
      <c r="G13" s="14">
        <v>1</v>
      </c>
      <c r="H13" s="7"/>
    </row>
    <row r="14" s="1" customFormat="1" ht="22.5" customHeight="1" spans="1:8">
      <c r="A14" s="11">
        <v>10</v>
      </c>
      <c r="B14" s="75">
        <v>13235</v>
      </c>
      <c r="C14" s="75" t="s">
        <v>405</v>
      </c>
      <c r="D14" s="75" t="s">
        <v>406</v>
      </c>
      <c r="E14" s="75" t="s">
        <v>407</v>
      </c>
      <c r="F14" s="108" t="s">
        <v>31</v>
      </c>
      <c r="G14" s="14">
        <v>1</v>
      </c>
      <c r="H14" s="7"/>
    </row>
    <row r="15" s="1" customFormat="1" ht="22.5" customHeight="1" spans="1:8">
      <c r="A15" s="11">
        <v>11</v>
      </c>
      <c r="B15" s="110">
        <v>13853</v>
      </c>
      <c r="C15" s="139" t="s">
        <v>408</v>
      </c>
      <c r="D15" s="111" t="s">
        <v>409</v>
      </c>
      <c r="E15" s="111" t="s">
        <v>410</v>
      </c>
      <c r="F15" s="112" t="s">
        <v>31</v>
      </c>
      <c r="G15" s="14">
        <v>1</v>
      </c>
      <c r="H15" s="7"/>
    </row>
    <row r="16" s="1" customFormat="1" ht="22.5" customHeight="1" spans="1:8">
      <c r="A16" s="11">
        <v>12</v>
      </c>
      <c r="B16" s="109">
        <v>13882</v>
      </c>
      <c r="C16" s="109" t="s">
        <v>411</v>
      </c>
      <c r="D16" s="109" t="s">
        <v>412</v>
      </c>
      <c r="E16" s="109" t="s">
        <v>413</v>
      </c>
      <c r="F16" s="108" t="s">
        <v>31</v>
      </c>
      <c r="G16" s="14">
        <v>1</v>
      </c>
      <c r="H16" s="7"/>
    </row>
    <row r="17" s="1" customFormat="1" ht="22.5" customHeight="1" spans="1:8">
      <c r="A17" s="11">
        <v>13</v>
      </c>
      <c r="B17" s="109">
        <v>14252</v>
      </c>
      <c r="C17" s="138" t="s">
        <v>414</v>
      </c>
      <c r="D17" s="109" t="s">
        <v>415</v>
      </c>
      <c r="E17" s="109" t="s">
        <v>416</v>
      </c>
      <c r="F17" s="108" t="s">
        <v>31</v>
      </c>
      <c r="G17" s="14">
        <v>1</v>
      </c>
      <c r="H17" s="7"/>
    </row>
    <row r="18" s="1" customFormat="1" ht="22.5" customHeight="1" spans="1:8">
      <c r="A18" s="11">
        <v>14</v>
      </c>
      <c r="B18" s="109">
        <v>14380</v>
      </c>
      <c r="C18" s="138" t="s">
        <v>417</v>
      </c>
      <c r="D18" s="109" t="s">
        <v>418</v>
      </c>
      <c r="E18" s="109" t="s">
        <v>418</v>
      </c>
      <c r="F18" s="108" t="s">
        <v>31</v>
      </c>
      <c r="G18" s="14">
        <v>1</v>
      </c>
      <c r="H18" s="7"/>
    </row>
    <row r="19" s="1" customFormat="1" ht="22.5" customHeight="1" spans="1:8">
      <c r="A19" s="11">
        <v>15</v>
      </c>
      <c r="B19" s="75">
        <v>14980</v>
      </c>
      <c r="C19" s="140" t="s">
        <v>419</v>
      </c>
      <c r="D19" s="75" t="s">
        <v>420</v>
      </c>
      <c r="E19" s="75" t="s">
        <v>421</v>
      </c>
      <c r="F19" s="112" t="s">
        <v>31</v>
      </c>
      <c r="G19" s="9">
        <v>1</v>
      </c>
      <c r="H19" s="7"/>
    </row>
    <row r="20" ht="22.5" customHeight="1" spans="1:8">
      <c r="A20" s="113">
        <v>16</v>
      </c>
      <c r="B20" s="75"/>
      <c r="C20" s="75"/>
      <c r="D20" s="75"/>
      <c r="E20" s="75"/>
      <c r="F20" s="112"/>
      <c r="G20" s="9"/>
      <c r="H20" s="114"/>
    </row>
    <row r="21" ht="22.5" customHeight="1" spans="1:8">
      <c r="A21" s="115"/>
      <c r="B21" s="116"/>
      <c r="C21" s="116"/>
      <c r="D21" s="117"/>
      <c r="E21" s="117"/>
      <c r="F21" s="117"/>
      <c r="G21" s="118"/>
      <c r="H21" s="114"/>
    </row>
    <row r="22" ht="22.5" customHeight="1" spans="1:8">
      <c r="A22" s="115"/>
      <c r="B22" s="116"/>
      <c r="C22" s="116"/>
      <c r="D22" s="117"/>
      <c r="E22" s="117"/>
      <c r="F22" s="117"/>
      <c r="G22" s="118"/>
      <c r="H22" s="114"/>
    </row>
    <row r="23" s="1" customFormat="1" ht="22.5" customHeight="1" spans="1:8">
      <c r="A23" s="103"/>
      <c r="B23" s="104"/>
      <c r="C23" s="104"/>
      <c r="D23" s="104"/>
      <c r="E23" s="104"/>
      <c r="F23" s="104"/>
      <c r="G23" s="105"/>
      <c r="H23" s="23"/>
    </row>
    <row r="24" s="1" customFormat="1" ht="22.5" customHeight="1" spans="1:8">
      <c r="A24" s="103"/>
      <c r="B24" s="104"/>
      <c r="C24" s="104"/>
      <c r="D24" s="104"/>
      <c r="E24" s="104"/>
      <c r="F24" s="104"/>
      <c r="G24" s="104"/>
      <c r="H24" s="23"/>
    </row>
    <row r="25" s="1" customFormat="1" ht="22.5" customHeight="1" spans="1:7">
      <c r="A25" s="19" t="s">
        <v>47</v>
      </c>
      <c r="B25" s="20"/>
      <c r="C25" s="20"/>
      <c r="D25" s="20"/>
      <c r="E25" s="20"/>
      <c r="F25" s="20"/>
      <c r="G25" s="20"/>
    </row>
    <row r="26" s="1" customFormat="1" ht="22.5" customHeight="1" spans="1:8">
      <c r="A26" s="21" t="s">
        <v>48</v>
      </c>
      <c r="B26" s="22"/>
      <c r="C26" s="22"/>
      <c r="D26" s="22"/>
      <c r="E26" s="23"/>
      <c r="F26" s="24"/>
      <c r="G26" s="24"/>
      <c r="H26" s="7"/>
    </row>
    <row r="27" s="1" customFormat="1" ht="22.5" customHeight="1" spans="1:8">
      <c r="A27" s="7" t="s">
        <v>49</v>
      </c>
      <c r="B27" s="7" t="s">
        <v>50</v>
      </c>
      <c r="C27" s="7"/>
      <c r="D27" s="7"/>
      <c r="E27" s="7"/>
      <c r="F27" s="24"/>
      <c r="G27" s="24"/>
      <c r="H27" s="7"/>
    </row>
    <row r="28" s="1" customFormat="1" ht="22.5" customHeight="1" spans="1:8">
      <c r="A28" s="7"/>
      <c r="B28" s="7" t="s">
        <v>51</v>
      </c>
      <c r="C28" s="7"/>
      <c r="D28" s="7"/>
      <c r="E28" s="7"/>
      <c r="F28" s="24"/>
      <c r="G28" s="24"/>
      <c r="H28" s="7"/>
    </row>
    <row r="29" s="1" customFormat="1" ht="22.5" customHeight="1" spans="1:8">
      <c r="A29" s="25" t="s">
        <v>52</v>
      </c>
      <c r="B29" s="26" t="s">
        <v>53</v>
      </c>
      <c r="C29" s="27"/>
      <c r="D29" s="27"/>
      <c r="E29" s="28"/>
      <c r="F29" s="24"/>
      <c r="G29" s="24"/>
      <c r="H29" s="7"/>
    </row>
    <row r="30" s="1" customFormat="1" ht="22.5" customHeight="1" spans="1:8">
      <c r="A30" s="29"/>
      <c r="B30" s="30" t="s">
        <v>54</v>
      </c>
      <c r="C30" s="31"/>
      <c r="D30" s="31"/>
      <c r="E30" s="32"/>
      <c r="F30" s="24"/>
      <c r="G30" s="24"/>
      <c r="H30" s="7"/>
    </row>
    <row r="31" s="1" customFormat="1" ht="22.5" customHeight="1" spans="1:8">
      <c r="A31" s="17" t="s">
        <v>55</v>
      </c>
      <c r="B31" s="7" t="s">
        <v>56</v>
      </c>
      <c r="C31" s="7"/>
      <c r="D31" s="7"/>
      <c r="E31" s="7"/>
      <c r="F31" s="24"/>
      <c r="G31" s="24"/>
      <c r="H31" s="7"/>
    </row>
    <row r="32" s="1" customFormat="1" ht="22.5" customHeight="1" spans="1:8">
      <c r="A32" s="17"/>
      <c r="B32" s="7" t="s">
        <v>56</v>
      </c>
      <c r="C32" s="7"/>
      <c r="D32" s="7"/>
      <c r="E32" s="7"/>
      <c r="F32" s="24"/>
      <c r="G32" s="24"/>
      <c r="H32" s="7"/>
    </row>
    <row r="33" s="1" customFormat="1" ht="22.5" customHeight="1" spans="1:8">
      <c r="A33" s="17" t="s">
        <v>57</v>
      </c>
      <c r="B33" s="7" t="s">
        <v>58</v>
      </c>
      <c r="C33" s="7"/>
      <c r="D33" s="7"/>
      <c r="E33" s="7"/>
      <c r="F33" s="24"/>
      <c r="G33" s="24"/>
      <c r="H33" s="7"/>
    </row>
    <row r="34" s="1" customFormat="1" ht="22.5" customHeight="1" spans="1:8">
      <c r="A34" s="17"/>
      <c r="B34" s="7" t="s">
        <v>59</v>
      </c>
      <c r="C34" s="7"/>
      <c r="D34" s="7"/>
      <c r="E34" s="7"/>
      <c r="F34" s="24"/>
      <c r="G34" s="24"/>
      <c r="H34" s="7"/>
    </row>
    <row r="35" s="1" customFormat="1" ht="22.5" customHeight="1"/>
    <row r="36" s="1" customFormat="1" ht="22.5" customHeight="1" spans="1:5">
      <c r="A36" s="33" t="s">
        <v>60</v>
      </c>
      <c r="B36" s="7" t="s">
        <v>61</v>
      </c>
      <c r="C36" s="34">
        <v>1</v>
      </c>
      <c r="D36" s="7">
        <f>COUNTIF(F:F,B36)</f>
        <v>0</v>
      </c>
      <c r="E36" s="7">
        <f t="shared" ref="E36:E44" si="0">C36-D36</f>
        <v>1</v>
      </c>
    </row>
    <row r="37" s="1" customFormat="1" ht="22.5" customHeight="1" spans="1:5">
      <c r="A37" s="33" t="s">
        <v>60</v>
      </c>
      <c r="B37" s="7" t="s">
        <v>27</v>
      </c>
      <c r="C37" s="34">
        <v>970</v>
      </c>
      <c r="D37" s="7">
        <f>COUNTIF(F:F,B37)</f>
        <v>2</v>
      </c>
      <c r="E37" s="7">
        <f t="shared" si="0"/>
        <v>968</v>
      </c>
    </row>
    <row r="38" s="1" customFormat="1" ht="22.5" customHeight="1" spans="1:5">
      <c r="A38" s="33" t="s">
        <v>60</v>
      </c>
      <c r="B38" s="7" t="s">
        <v>21</v>
      </c>
      <c r="C38" s="35">
        <v>402</v>
      </c>
      <c r="D38" s="7">
        <f>COUNTIF(F:F,B38)</f>
        <v>0</v>
      </c>
      <c r="E38" s="7">
        <f t="shared" si="0"/>
        <v>402</v>
      </c>
    </row>
    <row r="39" s="1" customFormat="1" ht="22.5" customHeight="1" spans="1:5">
      <c r="A39" s="33" t="s">
        <v>60</v>
      </c>
      <c r="B39" s="17" t="s">
        <v>62</v>
      </c>
      <c r="C39" s="35">
        <v>82</v>
      </c>
      <c r="D39" s="7">
        <f>COUNTIF(F:F,"再就业")+COUNTIF(F:F,"小贷")</f>
        <v>0</v>
      </c>
      <c r="E39" s="7">
        <f t="shared" si="0"/>
        <v>82</v>
      </c>
    </row>
    <row r="40" s="1" customFormat="1" ht="22.5" customHeight="1" spans="1:5">
      <c r="A40" s="33" t="s">
        <v>60</v>
      </c>
      <c r="B40" s="17" t="s">
        <v>63</v>
      </c>
      <c r="C40" s="35">
        <v>1</v>
      </c>
      <c r="D40" s="7">
        <f>COUNTIF(F:F,B40)</f>
        <v>0</v>
      </c>
      <c r="E40" s="7">
        <f t="shared" si="0"/>
        <v>1</v>
      </c>
    </row>
    <row r="41" s="1" customFormat="1" ht="22.5" customHeight="1" spans="1:5">
      <c r="A41" s="33" t="s">
        <v>60</v>
      </c>
      <c r="B41" s="7" t="s">
        <v>64</v>
      </c>
      <c r="C41" s="35">
        <v>616</v>
      </c>
      <c r="D41" s="7">
        <f>COUNTIF(F:F,B41)</f>
        <v>1</v>
      </c>
      <c r="E41" s="7">
        <f t="shared" si="0"/>
        <v>615</v>
      </c>
    </row>
    <row r="42" s="1" customFormat="1" ht="22.5" customHeight="1" spans="1:5">
      <c r="A42" s="33" t="s">
        <v>60</v>
      </c>
      <c r="B42" s="7" t="s">
        <v>13</v>
      </c>
      <c r="C42" s="35">
        <v>914</v>
      </c>
      <c r="D42" s="7">
        <f>COUNTIF(F:F,B42)</f>
        <v>0</v>
      </c>
      <c r="E42" s="7">
        <f t="shared" si="0"/>
        <v>914</v>
      </c>
    </row>
    <row r="43" s="1" customFormat="1" ht="22.5" customHeight="1" spans="1:5">
      <c r="A43" s="33" t="s">
        <v>60</v>
      </c>
      <c r="B43" s="7" t="s">
        <v>31</v>
      </c>
      <c r="C43" s="35">
        <v>4484</v>
      </c>
      <c r="D43" s="7">
        <f>COUNTIF(F:F,B43)</f>
        <v>12</v>
      </c>
      <c r="E43" s="7">
        <f t="shared" si="0"/>
        <v>4472</v>
      </c>
    </row>
    <row r="44" s="1" customFormat="1" ht="22.5" customHeight="1" spans="1:5">
      <c r="A44" s="33" t="s">
        <v>60</v>
      </c>
      <c r="B44" s="7" t="s">
        <v>65</v>
      </c>
      <c r="C44" s="36">
        <v>43</v>
      </c>
      <c r="D44" s="7">
        <f>COUNTIF(F:F,B44)</f>
        <v>0</v>
      </c>
      <c r="E44" s="7">
        <f t="shared" si="0"/>
        <v>43</v>
      </c>
    </row>
    <row r="45" s="1" customFormat="1" ht="22.5" customHeight="1" spans="1:5">
      <c r="A45" s="37"/>
      <c r="B45" s="7"/>
      <c r="C45" s="7">
        <f>SUM(C36:C44)</f>
        <v>7513</v>
      </c>
      <c r="D45" s="7">
        <f>SUM(D36:D44)</f>
        <v>15</v>
      </c>
      <c r="E45" s="7">
        <f>SUM(E36:E44)</f>
        <v>7498</v>
      </c>
    </row>
    <row r="46" s="1" customFormat="1" ht="22.5" customHeight="1"/>
  </sheetData>
  <sortState ref="B5:F20">
    <sortCondition ref="B5:B20"/>
  </sortState>
  <mergeCells count="15">
    <mergeCell ref="A1:G1"/>
    <mergeCell ref="A2:G2"/>
    <mergeCell ref="A3:G3"/>
    <mergeCell ref="B27:E27"/>
    <mergeCell ref="B28:E28"/>
    <mergeCell ref="B29:E29"/>
    <mergeCell ref="B30:E30"/>
    <mergeCell ref="B31:E31"/>
    <mergeCell ref="B32:E32"/>
    <mergeCell ref="B33:E33"/>
    <mergeCell ref="B34:E34"/>
    <mergeCell ref="A27:A28"/>
    <mergeCell ref="A29:A30"/>
    <mergeCell ref="A31:A32"/>
    <mergeCell ref="A33:A34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H43"/>
  <sheetViews>
    <sheetView view="pageBreakPreview" zoomScaleNormal="100" topLeftCell="A31" workbookViewId="0">
      <selection activeCell="C42" sqref="C42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1">
      <c r="A1" s="2" t="s">
        <v>0</v>
      </c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10</v>
      </c>
    </row>
    <row r="5" s="1" customFormat="1" ht="21" customHeight="1" spans="1:8">
      <c r="A5" s="11">
        <v>1</v>
      </c>
      <c r="B5" s="12">
        <v>1072</v>
      </c>
      <c r="C5" s="12" t="s">
        <v>422</v>
      </c>
      <c r="D5" s="12" t="s">
        <v>423</v>
      </c>
      <c r="E5" s="12" t="s">
        <v>423</v>
      </c>
      <c r="F5" s="108" t="s">
        <v>13</v>
      </c>
      <c r="G5" s="14">
        <v>1</v>
      </c>
      <c r="H5" s="11"/>
    </row>
    <row r="6" s="1" customFormat="1" ht="22.5" customHeight="1" spans="1:8">
      <c r="A6" s="11">
        <v>2</v>
      </c>
      <c r="B6" s="12">
        <v>1083</v>
      </c>
      <c r="C6" s="12" t="s">
        <v>424</v>
      </c>
      <c r="D6" s="12" t="s">
        <v>425</v>
      </c>
      <c r="E6" s="12" t="s">
        <v>425</v>
      </c>
      <c r="F6" s="108" t="s">
        <v>13</v>
      </c>
      <c r="G6" s="14">
        <v>1</v>
      </c>
      <c r="H6" s="7"/>
    </row>
    <row r="7" s="1" customFormat="1" ht="22.5" customHeight="1" spans="1:8">
      <c r="A7" s="11">
        <v>3</v>
      </c>
      <c r="B7" s="17">
        <v>1483</v>
      </c>
      <c r="C7" s="12" t="s">
        <v>426</v>
      </c>
      <c r="D7" s="17" t="s">
        <v>427</v>
      </c>
      <c r="E7" s="17" t="s">
        <v>427</v>
      </c>
      <c r="F7" s="108" t="s">
        <v>13</v>
      </c>
      <c r="G7" s="14">
        <v>1</v>
      </c>
      <c r="H7" s="7"/>
    </row>
    <row r="8" s="1" customFormat="1" ht="22.5" customHeight="1" spans="1:8">
      <c r="A8" s="11">
        <v>4</v>
      </c>
      <c r="B8" s="17">
        <v>1649</v>
      </c>
      <c r="C8" s="12" t="s">
        <v>428</v>
      </c>
      <c r="D8" s="17" t="s">
        <v>429</v>
      </c>
      <c r="E8" s="17" t="s">
        <v>429</v>
      </c>
      <c r="F8" s="108" t="s">
        <v>13</v>
      </c>
      <c r="G8" s="14">
        <v>1</v>
      </c>
      <c r="H8" s="7"/>
    </row>
    <row r="9" s="1" customFormat="1" ht="18.75" spans="1:8">
      <c r="A9" s="11">
        <v>5</v>
      </c>
      <c r="B9" s="17">
        <v>4507</v>
      </c>
      <c r="C9" s="12" t="s">
        <v>430</v>
      </c>
      <c r="D9" s="17" t="s">
        <v>431</v>
      </c>
      <c r="E9" s="17" t="s">
        <v>432</v>
      </c>
      <c r="F9" s="13" t="s">
        <v>21</v>
      </c>
      <c r="G9" s="14">
        <v>1</v>
      </c>
      <c r="H9" s="7"/>
    </row>
    <row r="10" s="1" customFormat="1" ht="22.5" customHeight="1" spans="1:8">
      <c r="A10" s="11">
        <v>6</v>
      </c>
      <c r="B10" s="17">
        <v>11335</v>
      </c>
      <c r="C10" s="12" t="s">
        <v>433</v>
      </c>
      <c r="D10" s="17" t="s">
        <v>434</v>
      </c>
      <c r="E10" s="17" t="s">
        <v>434</v>
      </c>
      <c r="F10" s="13" t="s">
        <v>31</v>
      </c>
      <c r="G10" s="14">
        <v>1</v>
      </c>
      <c r="H10" s="7"/>
    </row>
    <row r="11" s="1" customFormat="1" ht="22.5" customHeight="1" spans="1:8">
      <c r="A11" s="11">
        <v>7</v>
      </c>
      <c r="B11" s="17">
        <v>13307</v>
      </c>
      <c r="C11" s="17" t="s">
        <v>435</v>
      </c>
      <c r="D11" s="17" t="s">
        <v>436</v>
      </c>
      <c r="E11" s="17" t="s">
        <v>436</v>
      </c>
      <c r="F11" s="13" t="s">
        <v>31</v>
      </c>
      <c r="G11" s="14">
        <v>1</v>
      </c>
      <c r="H11" s="7"/>
    </row>
    <row r="12" s="1" customFormat="1" ht="22.5" customHeight="1" spans="1:8">
      <c r="A12" s="11">
        <v>8</v>
      </c>
      <c r="B12" s="17"/>
      <c r="C12" s="17"/>
      <c r="D12" s="17"/>
      <c r="E12" s="17"/>
      <c r="F12" s="13"/>
      <c r="G12" s="14">
        <v>1</v>
      </c>
      <c r="H12" s="7"/>
    </row>
    <row r="13" s="1" customFormat="1" ht="22.5" customHeight="1" spans="1:8">
      <c r="A13" s="11">
        <v>9</v>
      </c>
      <c r="B13" s="17"/>
      <c r="C13" s="17"/>
      <c r="D13" s="17"/>
      <c r="E13" s="17"/>
      <c r="F13" s="13"/>
      <c r="G13" s="14">
        <v>1</v>
      </c>
      <c r="H13" s="7"/>
    </row>
    <row r="14" s="1" customFormat="1" ht="22.5" customHeight="1" spans="1:8">
      <c r="A14" s="11">
        <v>10</v>
      </c>
      <c r="B14" s="17"/>
      <c r="C14" s="17"/>
      <c r="D14" s="17"/>
      <c r="E14" s="17"/>
      <c r="F14" s="13"/>
      <c r="G14" s="14">
        <v>1</v>
      </c>
      <c r="H14" s="7"/>
    </row>
    <row r="15" s="1" customFormat="1" ht="22.5" customHeight="1" spans="1:8">
      <c r="A15" s="11">
        <v>11</v>
      </c>
      <c r="B15" s="12"/>
      <c r="C15" s="12"/>
      <c r="D15" s="12"/>
      <c r="E15" s="12"/>
      <c r="F15" s="13"/>
      <c r="G15" s="14">
        <v>1</v>
      </c>
      <c r="H15" s="7"/>
    </row>
    <row r="16" s="1" customFormat="1" ht="22.5" customHeight="1" spans="1:8">
      <c r="A16" s="11">
        <v>12</v>
      </c>
      <c r="B16" s="12"/>
      <c r="C16" s="12"/>
      <c r="D16" s="12"/>
      <c r="E16" s="12"/>
      <c r="F16" s="13"/>
      <c r="G16" s="14">
        <v>1</v>
      </c>
      <c r="H16" s="7"/>
    </row>
    <row r="17" s="1" customFormat="1" ht="22.5" customHeight="1" spans="1:8">
      <c r="A17" s="11">
        <v>13</v>
      </c>
      <c r="B17" s="12"/>
      <c r="C17" s="12"/>
      <c r="D17" s="12"/>
      <c r="E17" s="12"/>
      <c r="F17" s="13"/>
      <c r="G17" s="14">
        <v>1</v>
      </c>
      <c r="H17" s="7"/>
    </row>
    <row r="18" s="1" customFormat="1" ht="22.5" customHeight="1" spans="1:8">
      <c r="A18" s="11">
        <v>14</v>
      </c>
      <c r="B18" s="12"/>
      <c r="C18" s="12"/>
      <c r="D18" s="12"/>
      <c r="E18" s="12"/>
      <c r="F18" s="17"/>
      <c r="G18" s="14">
        <v>1</v>
      </c>
      <c r="H18" s="7"/>
    </row>
    <row r="19" s="1" customFormat="1" ht="22.5" customHeight="1" spans="1:8">
      <c r="A19" s="11">
        <v>15</v>
      </c>
      <c r="B19" s="101"/>
      <c r="C19" s="101"/>
      <c r="D19" s="102"/>
      <c r="E19" s="102"/>
      <c r="F19" s="17"/>
      <c r="G19" s="14">
        <v>1</v>
      </c>
      <c r="H19" s="7"/>
    </row>
    <row r="20" s="1" customFormat="1" ht="22.5" customHeight="1" spans="1:8">
      <c r="A20" s="103"/>
      <c r="B20" s="104"/>
      <c r="C20" s="104"/>
      <c r="D20" s="104"/>
      <c r="E20" s="104"/>
      <c r="F20" s="104"/>
      <c r="G20" s="105"/>
      <c r="H20" s="23"/>
    </row>
    <row r="21" s="1" customFormat="1" ht="22.5" customHeight="1" spans="1:8">
      <c r="A21" s="103"/>
      <c r="B21" s="104"/>
      <c r="C21" s="104"/>
      <c r="D21" s="104"/>
      <c r="E21" s="104"/>
      <c r="F21" s="104"/>
      <c r="G21" s="104"/>
      <c r="H21" s="23"/>
    </row>
    <row r="22" s="1" customFormat="1" ht="22.5" customHeight="1" spans="1:7">
      <c r="A22" s="19" t="s">
        <v>47</v>
      </c>
      <c r="B22" s="20"/>
      <c r="C22" s="20"/>
      <c r="D22" s="20"/>
      <c r="E22" s="20"/>
      <c r="F22" s="20"/>
      <c r="G22" s="20"/>
    </row>
    <row r="23" s="1" customFormat="1" ht="22.5" customHeight="1" spans="1:8">
      <c r="A23" s="21" t="s">
        <v>48</v>
      </c>
      <c r="B23" s="22"/>
      <c r="C23" s="22"/>
      <c r="D23" s="22"/>
      <c r="E23" s="23"/>
      <c r="F23" s="24"/>
      <c r="G23" s="24"/>
      <c r="H23" s="7"/>
    </row>
    <row r="24" s="1" customFormat="1" ht="22.5" customHeight="1" spans="1:8">
      <c r="A24" s="7" t="s">
        <v>49</v>
      </c>
      <c r="B24" s="7" t="s">
        <v>50</v>
      </c>
      <c r="C24" s="7"/>
      <c r="D24" s="7"/>
      <c r="E24" s="7"/>
      <c r="F24" s="24"/>
      <c r="G24" s="24"/>
      <c r="H24" s="7"/>
    </row>
    <row r="25" s="1" customFormat="1" ht="22.5" customHeight="1" spans="1:8">
      <c r="A25" s="7"/>
      <c r="B25" s="7" t="s">
        <v>51</v>
      </c>
      <c r="C25" s="7"/>
      <c r="D25" s="7"/>
      <c r="E25" s="7"/>
      <c r="F25" s="24"/>
      <c r="G25" s="24"/>
      <c r="H25" s="7"/>
    </row>
    <row r="26" s="1" customFormat="1" ht="22.5" customHeight="1" spans="1:8">
      <c r="A26" s="25" t="s">
        <v>52</v>
      </c>
      <c r="B26" s="26" t="s">
        <v>53</v>
      </c>
      <c r="C26" s="27"/>
      <c r="D26" s="27"/>
      <c r="E26" s="28"/>
      <c r="F26" s="24"/>
      <c r="G26" s="24"/>
      <c r="H26" s="7"/>
    </row>
    <row r="27" s="1" customFormat="1" ht="22.5" customHeight="1" spans="1:8">
      <c r="A27" s="29"/>
      <c r="B27" s="30" t="s">
        <v>54</v>
      </c>
      <c r="C27" s="31"/>
      <c r="D27" s="31"/>
      <c r="E27" s="32"/>
      <c r="F27" s="24"/>
      <c r="G27" s="24"/>
      <c r="H27" s="7"/>
    </row>
    <row r="28" s="1" customFormat="1" ht="22.5" customHeight="1" spans="1:8">
      <c r="A28" s="17" t="s">
        <v>55</v>
      </c>
      <c r="B28" s="7" t="s">
        <v>56</v>
      </c>
      <c r="C28" s="7"/>
      <c r="D28" s="7"/>
      <c r="E28" s="7"/>
      <c r="F28" s="24"/>
      <c r="G28" s="24"/>
      <c r="H28" s="7"/>
    </row>
    <row r="29" s="1" customFormat="1" ht="22.5" customHeight="1" spans="1:8">
      <c r="A29" s="17"/>
      <c r="B29" s="7" t="s">
        <v>56</v>
      </c>
      <c r="C29" s="7"/>
      <c r="D29" s="7"/>
      <c r="E29" s="7"/>
      <c r="F29" s="24"/>
      <c r="G29" s="24"/>
      <c r="H29" s="7"/>
    </row>
    <row r="30" s="1" customFormat="1" ht="22.5" customHeight="1" spans="1:8">
      <c r="A30" s="17" t="s">
        <v>57</v>
      </c>
      <c r="B30" s="7" t="s">
        <v>58</v>
      </c>
      <c r="C30" s="7"/>
      <c r="D30" s="7"/>
      <c r="E30" s="7"/>
      <c r="F30" s="24"/>
      <c r="G30" s="24"/>
      <c r="H30" s="7"/>
    </row>
    <row r="31" s="1" customFormat="1" ht="22.5" customHeight="1" spans="1:8">
      <c r="A31" s="17"/>
      <c r="B31" s="7" t="s">
        <v>59</v>
      </c>
      <c r="C31" s="7"/>
      <c r="D31" s="7"/>
      <c r="E31" s="7"/>
      <c r="F31" s="24"/>
      <c r="G31" s="24"/>
      <c r="H31" s="7"/>
    </row>
    <row r="32" s="1" customFormat="1" ht="22.5" customHeight="1"/>
    <row r="33" s="1" customFormat="1" ht="22.5" customHeight="1" spans="1:5">
      <c r="A33" s="33" t="s">
        <v>60</v>
      </c>
      <c r="B33" s="7" t="s">
        <v>61</v>
      </c>
      <c r="C33" s="34">
        <v>1</v>
      </c>
      <c r="D33" s="7">
        <f>COUNTIF(F:F,B33)</f>
        <v>0</v>
      </c>
      <c r="E33" s="7">
        <f t="shared" ref="E33:E41" si="0">C33-D33</f>
        <v>1</v>
      </c>
    </row>
    <row r="34" s="1" customFormat="1" ht="22.5" customHeight="1" spans="1:5">
      <c r="A34" s="33" t="s">
        <v>60</v>
      </c>
      <c r="B34" s="7" t="s">
        <v>27</v>
      </c>
      <c r="C34" s="34">
        <v>970</v>
      </c>
      <c r="D34" s="7">
        <f>COUNTIF(F:F,B34)</f>
        <v>0</v>
      </c>
      <c r="E34" s="7">
        <f t="shared" si="0"/>
        <v>970</v>
      </c>
    </row>
    <row r="35" s="1" customFormat="1" ht="22.5" customHeight="1" spans="1:5">
      <c r="A35" s="33" t="s">
        <v>60</v>
      </c>
      <c r="B35" s="7" t="s">
        <v>21</v>
      </c>
      <c r="C35" s="35">
        <v>403</v>
      </c>
      <c r="D35" s="7">
        <f>COUNTIF(F:F,B35)</f>
        <v>1</v>
      </c>
      <c r="E35" s="7">
        <f t="shared" si="0"/>
        <v>402</v>
      </c>
    </row>
    <row r="36" s="1" customFormat="1" ht="22.5" customHeight="1" spans="1:5">
      <c r="A36" s="33" t="s">
        <v>60</v>
      </c>
      <c r="B36" s="17" t="s">
        <v>62</v>
      </c>
      <c r="C36" s="35">
        <v>82</v>
      </c>
      <c r="D36" s="7">
        <f>COUNTIF(F:F,"再就业")+COUNTIF(F:F,"小贷")</f>
        <v>0</v>
      </c>
      <c r="E36" s="7">
        <f t="shared" si="0"/>
        <v>82</v>
      </c>
    </row>
    <row r="37" s="1" customFormat="1" ht="22.5" customHeight="1" spans="1:5">
      <c r="A37" s="33" t="s">
        <v>60</v>
      </c>
      <c r="B37" s="17" t="s">
        <v>63</v>
      </c>
      <c r="C37" s="35">
        <v>1</v>
      </c>
      <c r="D37" s="7">
        <f>COUNTIF(F:F,B37)</f>
        <v>0</v>
      </c>
      <c r="E37" s="7">
        <f t="shared" si="0"/>
        <v>1</v>
      </c>
    </row>
    <row r="38" s="1" customFormat="1" ht="22.5" customHeight="1" spans="1:5">
      <c r="A38" s="33" t="s">
        <v>60</v>
      </c>
      <c r="B38" s="7" t="s">
        <v>64</v>
      </c>
      <c r="C38" s="35">
        <v>616</v>
      </c>
      <c r="D38" s="7">
        <f>COUNTIF(F:F,B38)</f>
        <v>0</v>
      </c>
      <c r="E38" s="7">
        <f t="shared" si="0"/>
        <v>616</v>
      </c>
    </row>
    <row r="39" s="1" customFormat="1" ht="22.5" customHeight="1" spans="1:5">
      <c r="A39" s="33" t="s">
        <v>60</v>
      </c>
      <c r="B39" s="7" t="s">
        <v>13</v>
      </c>
      <c r="C39" s="35">
        <v>918</v>
      </c>
      <c r="D39" s="7">
        <f>COUNTIF(F:F,B39)</f>
        <v>4</v>
      </c>
      <c r="E39" s="7">
        <f t="shared" si="0"/>
        <v>914</v>
      </c>
    </row>
    <row r="40" s="1" customFormat="1" ht="22.5" customHeight="1" spans="1:5">
      <c r="A40" s="33" t="s">
        <v>60</v>
      </c>
      <c r="B40" s="7" t="s">
        <v>31</v>
      </c>
      <c r="C40" s="35">
        <v>4486</v>
      </c>
      <c r="D40" s="7">
        <f>COUNTIF(F:F,B40)</f>
        <v>2</v>
      </c>
      <c r="E40" s="7">
        <f t="shared" si="0"/>
        <v>4484</v>
      </c>
    </row>
    <row r="41" s="1" customFormat="1" ht="22.5" customHeight="1" spans="1:5">
      <c r="A41" s="33" t="s">
        <v>60</v>
      </c>
      <c r="B41" s="7" t="s">
        <v>65</v>
      </c>
      <c r="C41" s="36">
        <v>43</v>
      </c>
      <c r="D41" s="7">
        <f>COUNTIF(F:F,B41)</f>
        <v>0</v>
      </c>
      <c r="E41" s="7">
        <f t="shared" si="0"/>
        <v>43</v>
      </c>
    </row>
    <row r="42" s="1" customFormat="1" ht="22.5" customHeight="1" spans="1:5">
      <c r="A42" s="37"/>
      <c r="B42" s="7"/>
      <c r="C42" s="7">
        <f>SUM(C33:C41)</f>
        <v>7520</v>
      </c>
      <c r="D42" s="7">
        <f>SUM(D33:D41)</f>
        <v>7</v>
      </c>
      <c r="E42" s="7">
        <f>SUM(E33:E41)</f>
        <v>7513</v>
      </c>
    </row>
    <row r="43" s="1" customFormat="1" ht="22.5" customHeight="1"/>
  </sheetData>
  <sortState ref="B5:F11">
    <sortCondition ref="B5:B11"/>
  </sortState>
  <mergeCells count="15">
    <mergeCell ref="A1:G1"/>
    <mergeCell ref="A2:G2"/>
    <mergeCell ref="A3:G3"/>
    <mergeCell ref="B24:E24"/>
    <mergeCell ref="B25:E25"/>
    <mergeCell ref="B26:E26"/>
    <mergeCell ref="B27:E27"/>
    <mergeCell ref="B28:E28"/>
    <mergeCell ref="B29:E29"/>
    <mergeCell ref="B30:E30"/>
    <mergeCell ref="B31:E31"/>
    <mergeCell ref="A24:A25"/>
    <mergeCell ref="A26:A27"/>
    <mergeCell ref="A28:A29"/>
    <mergeCell ref="A30:A31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H43"/>
  <sheetViews>
    <sheetView view="pageBreakPreview" zoomScaleNormal="100" workbookViewId="0">
      <selection activeCell="E15" sqref="E15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1">
      <c r="A1" s="2" t="s">
        <v>0</v>
      </c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437</v>
      </c>
    </row>
    <row r="5" s="1" customFormat="1" ht="21" customHeight="1" spans="1:8">
      <c r="A5" s="11">
        <v>1</v>
      </c>
      <c r="B5" s="12">
        <v>4149</v>
      </c>
      <c r="C5" s="12" t="s">
        <v>438</v>
      </c>
      <c r="D5" s="12" t="s">
        <v>439</v>
      </c>
      <c r="E5" s="12" t="s">
        <v>440</v>
      </c>
      <c r="F5" s="17" t="s">
        <v>21</v>
      </c>
      <c r="G5" s="14">
        <v>1</v>
      </c>
      <c r="H5" s="11"/>
    </row>
    <row r="6" s="1" customFormat="1" ht="22.5" customHeight="1" spans="1:8">
      <c r="A6" s="11">
        <v>2</v>
      </c>
      <c r="B6" s="17">
        <v>4551</v>
      </c>
      <c r="C6" s="12" t="s">
        <v>441</v>
      </c>
      <c r="D6" s="17" t="s">
        <v>442</v>
      </c>
      <c r="E6" s="17" t="s">
        <v>443</v>
      </c>
      <c r="F6" s="13" t="s">
        <v>21</v>
      </c>
      <c r="G6" s="14">
        <v>1</v>
      </c>
      <c r="H6" s="7"/>
    </row>
    <row r="7" s="1" customFormat="1" ht="22.5" customHeight="1" spans="1:8">
      <c r="A7" s="11">
        <v>3</v>
      </c>
      <c r="B7" s="17">
        <v>5304</v>
      </c>
      <c r="C7" s="12" t="s">
        <v>444</v>
      </c>
      <c r="D7" s="17" t="s">
        <v>445</v>
      </c>
      <c r="E7" s="17" t="s">
        <v>446</v>
      </c>
      <c r="F7" s="13" t="s">
        <v>27</v>
      </c>
      <c r="G7" s="14">
        <v>1</v>
      </c>
      <c r="H7" s="7"/>
    </row>
    <row r="8" s="1" customFormat="1" ht="22.5" customHeight="1" spans="1:8">
      <c r="A8" s="11">
        <v>4</v>
      </c>
      <c r="B8" s="17">
        <v>4214</v>
      </c>
      <c r="C8" s="141" t="s">
        <v>447</v>
      </c>
      <c r="D8" s="17" t="s">
        <v>448</v>
      </c>
      <c r="E8" s="17" t="s">
        <v>448</v>
      </c>
      <c r="F8" s="13" t="s">
        <v>64</v>
      </c>
      <c r="G8" s="14">
        <v>1</v>
      </c>
      <c r="H8" s="7"/>
    </row>
    <row r="9" s="1" customFormat="1" ht="18.75" spans="1:8">
      <c r="A9" s="11">
        <v>5</v>
      </c>
      <c r="B9" s="17">
        <v>9879</v>
      </c>
      <c r="C9" s="12" t="s">
        <v>449</v>
      </c>
      <c r="D9" s="17" t="s">
        <v>450</v>
      </c>
      <c r="E9" s="17" t="s">
        <v>450</v>
      </c>
      <c r="F9" s="13" t="s">
        <v>31</v>
      </c>
      <c r="G9" s="14">
        <v>1</v>
      </c>
      <c r="H9" s="7"/>
    </row>
    <row r="10" s="1" customFormat="1" ht="22.5" customHeight="1" spans="1:8">
      <c r="A10" s="11">
        <v>6</v>
      </c>
      <c r="B10" s="17">
        <v>9997</v>
      </c>
      <c r="C10" s="142" t="s">
        <v>451</v>
      </c>
      <c r="D10" s="17" t="s">
        <v>452</v>
      </c>
      <c r="E10" s="17" t="s">
        <v>453</v>
      </c>
      <c r="F10" s="13" t="s">
        <v>31</v>
      </c>
      <c r="G10" s="14">
        <v>1</v>
      </c>
      <c r="H10" s="7"/>
    </row>
    <row r="11" s="1" customFormat="1" ht="22.5" customHeight="1" spans="1:8">
      <c r="A11" s="11">
        <v>7</v>
      </c>
      <c r="B11" s="17">
        <v>10188</v>
      </c>
      <c r="C11" s="17" t="s">
        <v>454</v>
      </c>
      <c r="D11" s="17" t="s">
        <v>455</v>
      </c>
      <c r="E11" s="17" t="s">
        <v>456</v>
      </c>
      <c r="F11" s="13" t="s">
        <v>31</v>
      </c>
      <c r="G11" s="14">
        <v>1</v>
      </c>
      <c r="H11" s="7"/>
    </row>
    <row r="12" s="1" customFormat="1" ht="22.5" customHeight="1" spans="1:8">
      <c r="A12" s="11">
        <v>8</v>
      </c>
      <c r="B12" s="17">
        <v>12148</v>
      </c>
      <c r="C12" s="17" t="s">
        <v>457</v>
      </c>
      <c r="D12" s="17" t="s">
        <v>458</v>
      </c>
      <c r="E12" s="17" t="s">
        <v>459</v>
      </c>
      <c r="F12" s="13" t="s">
        <v>31</v>
      </c>
      <c r="G12" s="14">
        <v>1</v>
      </c>
      <c r="H12" s="7"/>
    </row>
    <row r="13" s="1" customFormat="1" ht="22.5" customHeight="1" spans="1:8">
      <c r="A13" s="11">
        <v>9</v>
      </c>
      <c r="B13" s="12">
        <v>1737</v>
      </c>
      <c r="C13" s="12" t="s">
        <v>460</v>
      </c>
      <c r="D13" s="12" t="s">
        <v>461</v>
      </c>
      <c r="E13" s="12" t="s">
        <v>461</v>
      </c>
      <c r="F13" s="108" t="s">
        <v>13</v>
      </c>
      <c r="G13" s="14">
        <v>1</v>
      </c>
      <c r="H13" s="7"/>
    </row>
    <row r="14" s="1" customFormat="1" ht="22.5" customHeight="1" spans="1:8">
      <c r="A14" s="11">
        <v>10</v>
      </c>
      <c r="B14" s="17"/>
      <c r="C14" s="17"/>
      <c r="D14" s="17"/>
      <c r="E14" s="17"/>
      <c r="F14" s="13"/>
      <c r="G14" s="14">
        <v>1</v>
      </c>
      <c r="H14" s="7"/>
    </row>
    <row r="15" s="1" customFormat="1" ht="22.5" customHeight="1" spans="1:8">
      <c r="A15" s="11">
        <v>11</v>
      </c>
      <c r="B15" s="12"/>
      <c r="C15" s="12"/>
      <c r="D15" s="12"/>
      <c r="E15" s="12"/>
      <c r="F15" s="13"/>
      <c r="G15" s="14">
        <v>1</v>
      </c>
      <c r="H15" s="7"/>
    </row>
    <row r="16" s="1" customFormat="1" ht="22.5" customHeight="1" spans="1:8">
      <c r="A16" s="11">
        <v>12</v>
      </c>
      <c r="B16" s="12"/>
      <c r="C16" s="12"/>
      <c r="D16" s="12"/>
      <c r="E16" s="12"/>
      <c r="F16" s="13"/>
      <c r="G16" s="14">
        <v>1</v>
      </c>
      <c r="H16" s="7"/>
    </row>
    <row r="17" s="1" customFormat="1" ht="22.5" customHeight="1" spans="1:8">
      <c r="A17" s="11">
        <v>13</v>
      </c>
      <c r="B17" s="12"/>
      <c r="C17" s="12"/>
      <c r="D17" s="12"/>
      <c r="E17" s="12"/>
      <c r="F17" s="13"/>
      <c r="G17" s="14">
        <v>1</v>
      </c>
      <c r="H17" s="7"/>
    </row>
    <row r="18" s="1" customFormat="1" ht="22.5" customHeight="1" spans="1:8">
      <c r="A18" s="11">
        <v>14</v>
      </c>
      <c r="B18" s="12"/>
      <c r="C18" s="12"/>
      <c r="D18" s="12"/>
      <c r="E18" s="12"/>
      <c r="F18" s="17"/>
      <c r="G18" s="14">
        <v>1</v>
      </c>
      <c r="H18" s="7"/>
    </row>
    <row r="19" s="1" customFormat="1" ht="22.5" customHeight="1" spans="1:8">
      <c r="A19" s="11">
        <v>15</v>
      </c>
      <c r="B19" s="101"/>
      <c r="C19" s="101"/>
      <c r="D19" s="102"/>
      <c r="E19" s="102"/>
      <c r="F19" s="17"/>
      <c r="G19" s="14">
        <v>1</v>
      </c>
      <c r="H19" s="7"/>
    </row>
    <row r="20" s="1" customFormat="1" ht="22.5" customHeight="1" spans="1:8">
      <c r="A20" s="103"/>
      <c r="B20" s="104"/>
      <c r="C20" s="104"/>
      <c r="D20" s="104"/>
      <c r="E20" s="104"/>
      <c r="F20" s="104"/>
      <c r="G20" s="105"/>
      <c r="H20" s="23"/>
    </row>
    <row r="21" s="1" customFormat="1" ht="22.5" customHeight="1" spans="1:8">
      <c r="A21" s="103"/>
      <c r="B21" s="104"/>
      <c r="C21" s="104"/>
      <c r="D21" s="104"/>
      <c r="E21" s="104"/>
      <c r="F21" s="104"/>
      <c r="G21" s="104"/>
      <c r="H21" s="23"/>
    </row>
    <row r="22" s="1" customFormat="1" ht="22.5" customHeight="1" spans="1:7">
      <c r="A22" s="19" t="s">
        <v>47</v>
      </c>
      <c r="B22" s="20"/>
      <c r="C22" s="20"/>
      <c r="D22" s="20"/>
      <c r="E22" s="20"/>
      <c r="F22" s="20"/>
      <c r="G22" s="20"/>
    </row>
    <row r="23" s="1" customFormat="1" ht="22.5" customHeight="1" spans="1:8">
      <c r="A23" s="21" t="s">
        <v>48</v>
      </c>
      <c r="B23" s="22"/>
      <c r="C23" s="22"/>
      <c r="D23" s="22"/>
      <c r="E23" s="23"/>
      <c r="F23" s="24"/>
      <c r="G23" s="24"/>
      <c r="H23" s="7"/>
    </row>
    <row r="24" s="1" customFormat="1" ht="22.5" customHeight="1" spans="1:8">
      <c r="A24" s="7" t="s">
        <v>49</v>
      </c>
      <c r="B24" s="7" t="s">
        <v>50</v>
      </c>
      <c r="C24" s="7"/>
      <c r="D24" s="7"/>
      <c r="E24" s="7"/>
      <c r="F24" s="24"/>
      <c r="G24" s="24"/>
      <c r="H24" s="7"/>
    </row>
    <row r="25" s="1" customFormat="1" ht="22.5" customHeight="1" spans="1:8">
      <c r="A25" s="7"/>
      <c r="B25" s="7" t="s">
        <v>51</v>
      </c>
      <c r="C25" s="7"/>
      <c r="D25" s="7"/>
      <c r="E25" s="7"/>
      <c r="F25" s="24"/>
      <c r="G25" s="24"/>
      <c r="H25" s="7"/>
    </row>
    <row r="26" s="1" customFormat="1" ht="22.5" customHeight="1" spans="1:8">
      <c r="A26" s="25" t="s">
        <v>52</v>
      </c>
      <c r="B26" s="26" t="s">
        <v>53</v>
      </c>
      <c r="C26" s="27"/>
      <c r="D26" s="27"/>
      <c r="E26" s="28"/>
      <c r="F26" s="24"/>
      <c r="G26" s="24"/>
      <c r="H26" s="7"/>
    </row>
    <row r="27" s="1" customFormat="1" ht="22.5" customHeight="1" spans="1:8">
      <c r="A27" s="29"/>
      <c r="B27" s="30" t="s">
        <v>54</v>
      </c>
      <c r="C27" s="31"/>
      <c r="D27" s="31"/>
      <c r="E27" s="32"/>
      <c r="F27" s="24"/>
      <c r="G27" s="24"/>
      <c r="H27" s="7"/>
    </row>
    <row r="28" s="1" customFormat="1" ht="22.5" customHeight="1" spans="1:8">
      <c r="A28" s="17" t="s">
        <v>55</v>
      </c>
      <c r="B28" s="7" t="s">
        <v>56</v>
      </c>
      <c r="C28" s="7"/>
      <c r="D28" s="7"/>
      <c r="E28" s="7"/>
      <c r="F28" s="24"/>
      <c r="G28" s="24"/>
      <c r="H28" s="7"/>
    </row>
    <row r="29" s="1" customFormat="1" ht="22.5" customHeight="1" spans="1:8">
      <c r="A29" s="17"/>
      <c r="B29" s="7" t="s">
        <v>56</v>
      </c>
      <c r="C29" s="7"/>
      <c r="D29" s="7"/>
      <c r="E29" s="7"/>
      <c r="F29" s="24"/>
      <c r="G29" s="24"/>
      <c r="H29" s="7"/>
    </row>
    <row r="30" s="1" customFormat="1" ht="22.5" customHeight="1" spans="1:8">
      <c r="A30" s="17" t="s">
        <v>57</v>
      </c>
      <c r="B30" s="7" t="s">
        <v>58</v>
      </c>
      <c r="C30" s="7"/>
      <c r="D30" s="7"/>
      <c r="E30" s="7"/>
      <c r="F30" s="24"/>
      <c r="G30" s="24"/>
      <c r="H30" s="7"/>
    </row>
    <row r="31" s="1" customFormat="1" ht="22.5" customHeight="1" spans="1:8">
      <c r="A31" s="17"/>
      <c r="B31" s="7" t="s">
        <v>59</v>
      </c>
      <c r="C31" s="7"/>
      <c r="D31" s="7"/>
      <c r="E31" s="7"/>
      <c r="F31" s="24"/>
      <c r="G31" s="24"/>
      <c r="H31" s="7"/>
    </row>
    <row r="32" s="1" customFormat="1" ht="22.5" customHeight="1"/>
    <row r="33" s="1" customFormat="1" ht="22.5" customHeight="1" spans="1:5">
      <c r="A33" s="33" t="s">
        <v>60</v>
      </c>
      <c r="B33" s="7" t="s">
        <v>61</v>
      </c>
      <c r="C33" s="34">
        <v>1</v>
      </c>
      <c r="D33" s="7">
        <f>COUNTIF(F:F,B33)</f>
        <v>0</v>
      </c>
      <c r="E33" s="7">
        <f t="shared" ref="E33:E41" si="0">C33-D33</f>
        <v>1</v>
      </c>
    </row>
    <row r="34" s="1" customFormat="1" ht="22.5" customHeight="1" spans="1:5">
      <c r="A34" s="33" t="s">
        <v>60</v>
      </c>
      <c r="B34" s="7" t="s">
        <v>27</v>
      </c>
      <c r="C34" s="34">
        <v>968</v>
      </c>
      <c r="D34" s="7">
        <f>COUNTIF(F:F,B34)</f>
        <v>1</v>
      </c>
      <c r="E34" s="7">
        <f t="shared" si="0"/>
        <v>967</v>
      </c>
    </row>
    <row r="35" s="1" customFormat="1" ht="22.5" customHeight="1" spans="1:5">
      <c r="A35" s="33" t="s">
        <v>60</v>
      </c>
      <c r="B35" s="7" t="s">
        <v>21</v>
      </c>
      <c r="C35" s="35">
        <v>405</v>
      </c>
      <c r="D35" s="7">
        <f>COUNTIF(F:F,B35)</f>
        <v>2</v>
      </c>
      <c r="E35" s="7">
        <f t="shared" si="0"/>
        <v>403</v>
      </c>
    </row>
    <row r="36" s="1" customFormat="1" ht="22.5" customHeight="1" spans="1:5">
      <c r="A36" s="33" t="s">
        <v>60</v>
      </c>
      <c r="B36" s="17" t="s">
        <v>62</v>
      </c>
      <c r="C36" s="35">
        <v>82</v>
      </c>
      <c r="D36" s="7">
        <f>COUNTIF(F:F,"再就业")+COUNTIF(F:F,"小贷")</f>
        <v>0</v>
      </c>
      <c r="E36" s="7">
        <f t="shared" si="0"/>
        <v>82</v>
      </c>
    </row>
    <row r="37" s="1" customFormat="1" ht="22.5" customHeight="1" spans="1:5">
      <c r="A37" s="33" t="s">
        <v>60</v>
      </c>
      <c r="B37" s="17" t="s">
        <v>63</v>
      </c>
      <c r="C37" s="35">
        <v>1</v>
      </c>
      <c r="D37" s="7">
        <f>COUNTIF(F:F,B37)</f>
        <v>0</v>
      </c>
      <c r="E37" s="7">
        <f t="shared" si="0"/>
        <v>1</v>
      </c>
    </row>
    <row r="38" s="1" customFormat="1" ht="22.5" customHeight="1" spans="1:5">
      <c r="A38" s="33" t="s">
        <v>60</v>
      </c>
      <c r="B38" s="7" t="s">
        <v>64</v>
      </c>
      <c r="C38" s="35">
        <v>617</v>
      </c>
      <c r="D38" s="7">
        <f>COUNTIF(F:F,B38)</f>
        <v>1</v>
      </c>
      <c r="E38" s="7">
        <f t="shared" si="0"/>
        <v>616</v>
      </c>
    </row>
    <row r="39" s="1" customFormat="1" ht="22.5" customHeight="1" spans="1:5">
      <c r="A39" s="33" t="s">
        <v>60</v>
      </c>
      <c r="B39" s="7" t="s">
        <v>13</v>
      </c>
      <c r="C39" s="35">
        <v>919</v>
      </c>
      <c r="D39" s="7">
        <f>COUNTIF(F:F,B39)</f>
        <v>1</v>
      </c>
      <c r="E39" s="7">
        <f t="shared" si="0"/>
        <v>918</v>
      </c>
    </row>
    <row r="40" s="1" customFormat="1" ht="22.5" customHeight="1" spans="1:5">
      <c r="A40" s="33" t="s">
        <v>60</v>
      </c>
      <c r="B40" s="7" t="s">
        <v>31</v>
      </c>
      <c r="C40" s="35">
        <v>4490</v>
      </c>
      <c r="D40" s="7">
        <f>COUNTIF(F:F,B40)</f>
        <v>4</v>
      </c>
      <c r="E40" s="7">
        <f t="shared" si="0"/>
        <v>4486</v>
      </c>
    </row>
    <row r="41" s="1" customFormat="1" ht="22.5" customHeight="1" spans="1:5">
      <c r="A41" s="33" t="s">
        <v>60</v>
      </c>
      <c r="B41" s="7" t="s">
        <v>65</v>
      </c>
      <c r="C41" s="36">
        <v>43</v>
      </c>
      <c r="D41" s="7">
        <f>COUNTIF(F:F,B41)</f>
        <v>0</v>
      </c>
      <c r="E41" s="7">
        <f t="shared" si="0"/>
        <v>43</v>
      </c>
    </row>
    <row r="42" s="1" customFormat="1" ht="22.5" customHeight="1" spans="1:5">
      <c r="A42" s="37"/>
      <c r="B42" s="7"/>
      <c r="C42" s="7">
        <v>7523</v>
      </c>
      <c r="D42" s="7">
        <f>SUM(D33:D41)</f>
        <v>9</v>
      </c>
      <c r="E42" s="7">
        <f>SUM(E33:E41)</f>
        <v>7517</v>
      </c>
    </row>
    <row r="43" s="1" customFormat="1" ht="22.5" customHeight="1"/>
  </sheetData>
  <sortState ref="B5:F13">
    <sortCondition ref="B5:B13"/>
  </sortState>
  <mergeCells count="15">
    <mergeCell ref="A1:G1"/>
    <mergeCell ref="A2:G2"/>
    <mergeCell ref="A3:G3"/>
    <mergeCell ref="B24:E24"/>
    <mergeCell ref="B25:E25"/>
    <mergeCell ref="B26:E26"/>
    <mergeCell ref="B27:E27"/>
    <mergeCell ref="B28:E28"/>
    <mergeCell ref="B29:E29"/>
    <mergeCell ref="B30:E30"/>
    <mergeCell ref="B31:E31"/>
    <mergeCell ref="A24:A25"/>
    <mergeCell ref="A26:A27"/>
    <mergeCell ref="A28:A29"/>
    <mergeCell ref="A30:A31"/>
  </mergeCells>
  <pageMargins left="0.74999998873613" right="0.74999998873613" top="0.999999984981507" bottom="0.999999984981507" header="0.509722214045487" footer="0.509722214045487"/>
  <pageSetup paperSize="9" scale="78" fitToHeight="0" orientation="portrait"/>
  <headerFooter/>
  <rowBreaks count="1" manualBreakCount="1">
    <brk id="3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H43"/>
  <sheetViews>
    <sheetView view="pageBreakPreview" zoomScaleNormal="100" topLeftCell="A25" workbookViewId="0">
      <selection activeCell="E33" sqref="E33:E41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1">
      <c r="A1" s="2" t="s">
        <v>0</v>
      </c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437</v>
      </c>
    </row>
    <row r="5" s="1" customFormat="1" ht="21" customHeight="1" spans="1:8">
      <c r="A5" s="11">
        <v>1</v>
      </c>
      <c r="B5" s="17">
        <v>5254</v>
      </c>
      <c r="C5" s="12" t="s">
        <v>462</v>
      </c>
      <c r="D5" s="17" t="s">
        <v>463</v>
      </c>
      <c r="E5" s="17" t="s">
        <v>464</v>
      </c>
      <c r="F5" s="13" t="s">
        <v>27</v>
      </c>
      <c r="G5" s="14">
        <v>1</v>
      </c>
      <c r="H5" s="11"/>
    </row>
    <row r="6" s="1" customFormat="1" ht="22.5" customHeight="1" spans="1:8">
      <c r="A6" s="11">
        <v>2</v>
      </c>
      <c r="B6" s="12">
        <v>5175</v>
      </c>
      <c r="C6" s="12" t="s">
        <v>465</v>
      </c>
      <c r="D6" s="12" t="s">
        <v>466</v>
      </c>
      <c r="E6" s="12" t="s">
        <v>467</v>
      </c>
      <c r="F6" s="13" t="s">
        <v>27</v>
      </c>
      <c r="G6" s="14">
        <v>1</v>
      </c>
      <c r="H6" s="7"/>
    </row>
    <row r="7" s="1" customFormat="1" ht="22.5" customHeight="1" spans="1:8">
      <c r="A7" s="11">
        <v>3</v>
      </c>
      <c r="B7" s="17">
        <v>4607</v>
      </c>
      <c r="C7" s="141" t="s">
        <v>468</v>
      </c>
      <c r="D7" s="17" t="s">
        <v>469</v>
      </c>
      <c r="E7" s="17" t="s">
        <v>470</v>
      </c>
      <c r="F7" s="13" t="s">
        <v>27</v>
      </c>
      <c r="G7" s="14">
        <v>1</v>
      </c>
      <c r="H7" s="7"/>
    </row>
    <row r="8" s="1" customFormat="1" ht="22.5" customHeight="1" spans="1:8">
      <c r="A8" s="11">
        <v>4</v>
      </c>
      <c r="B8" s="17">
        <v>5245</v>
      </c>
      <c r="C8" s="12" t="s">
        <v>471</v>
      </c>
      <c r="D8" s="17" t="s">
        <v>472</v>
      </c>
      <c r="E8" s="17" t="s">
        <v>472</v>
      </c>
      <c r="F8" s="13" t="s">
        <v>27</v>
      </c>
      <c r="G8" s="14">
        <v>1</v>
      </c>
      <c r="H8" s="7"/>
    </row>
    <row r="9" s="1" customFormat="1" ht="18.75" spans="1:8">
      <c r="A9" s="11">
        <v>5</v>
      </c>
      <c r="B9" s="17">
        <v>5302</v>
      </c>
      <c r="C9" s="12" t="s">
        <v>473</v>
      </c>
      <c r="D9" s="17" t="s">
        <v>474</v>
      </c>
      <c r="E9" s="17" t="s">
        <v>475</v>
      </c>
      <c r="F9" s="13" t="s">
        <v>27</v>
      </c>
      <c r="G9" s="14">
        <v>1</v>
      </c>
      <c r="H9" s="7"/>
    </row>
    <row r="10" s="1" customFormat="1" ht="22.5" customHeight="1" spans="1:8">
      <c r="A10" s="11">
        <v>6</v>
      </c>
      <c r="B10" s="17">
        <v>13845</v>
      </c>
      <c r="C10" s="17" t="s">
        <v>476</v>
      </c>
      <c r="D10" s="17" t="s">
        <v>477</v>
      </c>
      <c r="E10" s="17" t="s">
        <v>477</v>
      </c>
      <c r="F10" s="13" t="s">
        <v>31</v>
      </c>
      <c r="G10" s="14">
        <v>1</v>
      </c>
      <c r="H10" s="7"/>
    </row>
    <row r="11" s="1" customFormat="1" ht="22.5" customHeight="1" spans="1:8">
      <c r="A11" s="11">
        <v>7</v>
      </c>
      <c r="B11" s="17">
        <v>4138</v>
      </c>
      <c r="C11" s="142" t="s">
        <v>478</v>
      </c>
      <c r="D11" s="17" t="s">
        <v>479</v>
      </c>
      <c r="E11" s="17" t="s">
        <v>480</v>
      </c>
      <c r="F11" s="13" t="s">
        <v>268</v>
      </c>
      <c r="G11" s="14">
        <v>1</v>
      </c>
      <c r="H11" s="7"/>
    </row>
    <row r="12" s="1" customFormat="1" ht="22.5" customHeight="1" spans="1:8">
      <c r="A12" s="11">
        <v>8</v>
      </c>
      <c r="B12" s="17">
        <v>4171</v>
      </c>
      <c r="C12" s="17" t="s">
        <v>481</v>
      </c>
      <c r="D12" s="17" t="s">
        <v>255</v>
      </c>
      <c r="E12" s="17" t="s">
        <v>255</v>
      </c>
      <c r="F12" s="13" t="s">
        <v>21</v>
      </c>
      <c r="G12" s="14">
        <v>1</v>
      </c>
      <c r="H12" s="7"/>
    </row>
    <row r="13" s="1" customFormat="1" ht="22.5" customHeight="1" spans="1:8">
      <c r="A13" s="11">
        <v>9</v>
      </c>
      <c r="B13" s="17">
        <v>4532</v>
      </c>
      <c r="C13" s="17" t="s">
        <v>482</v>
      </c>
      <c r="D13" s="17" t="s">
        <v>483</v>
      </c>
      <c r="E13" s="17" t="s">
        <v>483</v>
      </c>
      <c r="F13" s="13" t="s">
        <v>21</v>
      </c>
      <c r="G13" s="14">
        <v>1</v>
      </c>
      <c r="H13" s="7"/>
    </row>
    <row r="14" s="1" customFormat="1" ht="22.5" customHeight="1" spans="1:8">
      <c r="A14" s="11">
        <v>10</v>
      </c>
      <c r="B14" s="12"/>
      <c r="C14" s="12"/>
      <c r="D14" s="12"/>
      <c r="E14" s="12"/>
      <c r="F14" s="13"/>
      <c r="G14" s="14"/>
      <c r="H14" s="7"/>
    </row>
    <row r="15" s="1" customFormat="1" ht="22.5" customHeight="1" spans="1:8">
      <c r="A15" s="11">
        <v>11</v>
      </c>
      <c r="B15" s="12"/>
      <c r="C15" s="12"/>
      <c r="D15" s="12"/>
      <c r="E15" s="12"/>
      <c r="F15" s="13"/>
      <c r="G15" s="14">
        <v>1</v>
      </c>
      <c r="H15" s="7"/>
    </row>
    <row r="16" s="1" customFormat="1" ht="22.5" customHeight="1" spans="1:8">
      <c r="A16" s="11">
        <v>12</v>
      </c>
      <c r="B16" s="12"/>
      <c r="C16" s="12"/>
      <c r="D16" s="12"/>
      <c r="E16" s="12"/>
      <c r="F16" s="13"/>
      <c r="G16" s="14">
        <v>1</v>
      </c>
      <c r="H16" s="7"/>
    </row>
    <row r="17" s="1" customFormat="1" ht="22.5" customHeight="1" spans="1:8">
      <c r="A17" s="11">
        <v>13</v>
      </c>
      <c r="B17" s="12"/>
      <c r="C17" s="12"/>
      <c r="D17" s="12"/>
      <c r="E17" s="12"/>
      <c r="F17" s="13"/>
      <c r="G17" s="14">
        <v>1</v>
      </c>
      <c r="H17" s="7"/>
    </row>
    <row r="18" s="1" customFormat="1" ht="22.5" customHeight="1" spans="1:8">
      <c r="A18" s="11">
        <v>14</v>
      </c>
      <c r="B18" s="12"/>
      <c r="C18" s="12"/>
      <c r="D18" s="12"/>
      <c r="E18" s="12"/>
      <c r="F18" s="17"/>
      <c r="G18" s="14">
        <v>1</v>
      </c>
      <c r="H18" s="7"/>
    </row>
    <row r="19" s="1" customFormat="1" ht="22.5" customHeight="1" spans="1:8">
      <c r="A19" s="11">
        <v>15</v>
      </c>
      <c r="B19" s="101"/>
      <c r="C19" s="101"/>
      <c r="D19" s="102"/>
      <c r="E19" s="102"/>
      <c r="F19" s="17"/>
      <c r="G19" s="14">
        <v>1</v>
      </c>
      <c r="H19" s="7"/>
    </row>
    <row r="20" s="1" customFormat="1" ht="22.5" customHeight="1" spans="1:8">
      <c r="A20" s="103"/>
      <c r="B20" s="104"/>
      <c r="C20" s="104"/>
      <c r="D20" s="104"/>
      <c r="E20" s="104"/>
      <c r="F20" s="104"/>
      <c r="G20" s="105"/>
      <c r="H20" s="23"/>
    </row>
    <row r="21" s="1" customFormat="1" ht="22.5" customHeight="1" spans="1:8">
      <c r="A21" s="103"/>
      <c r="B21" s="104"/>
      <c r="C21" s="104"/>
      <c r="D21" s="104"/>
      <c r="E21" s="104"/>
      <c r="F21" s="104"/>
      <c r="G21" s="104"/>
      <c r="H21" s="23"/>
    </row>
    <row r="22" s="1" customFormat="1" ht="22.5" customHeight="1" spans="1:7">
      <c r="A22" s="19" t="s">
        <v>47</v>
      </c>
      <c r="B22" s="20"/>
      <c r="C22" s="20"/>
      <c r="D22" s="20"/>
      <c r="E22" s="20"/>
      <c r="F22" s="20"/>
      <c r="G22" s="20"/>
    </row>
    <row r="23" s="1" customFormat="1" ht="22.5" customHeight="1" spans="1:8">
      <c r="A23" s="21" t="s">
        <v>48</v>
      </c>
      <c r="B23" s="22"/>
      <c r="C23" s="22"/>
      <c r="D23" s="22"/>
      <c r="E23" s="23"/>
      <c r="F23" s="24"/>
      <c r="G23" s="24"/>
      <c r="H23" s="7"/>
    </row>
    <row r="24" s="1" customFormat="1" ht="22.5" customHeight="1" spans="1:8">
      <c r="A24" s="7" t="s">
        <v>49</v>
      </c>
      <c r="B24" s="7" t="s">
        <v>50</v>
      </c>
      <c r="C24" s="7"/>
      <c r="D24" s="7"/>
      <c r="E24" s="7"/>
      <c r="F24" s="24"/>
      <c r="G24" s="24"/>
      <c r="H24" s="7"/>
    </row>
    <row r="25" s="1" customFormat="1" ht="22.5" customHeight="1" spans="1:8">
      <c r="A25" s="7"/>
      <c r="B25" s="7" t="s">
        <v>51</v>
      </c>
      <c r="C25" s="7"/>
      <c r="D25" s="7"/>
      <c r="E25" s="7"/>
      <c r="F25" s="24"/>
      <c r="G25" s="24"/>
      <c r="H25" s="7"/>
    </row>
    <row r="26" s="1" customFormat="1" ht="22.5" customHeight="1" spans="1:8">
      <c r="A26" s="25" t="s">
        <v>52</v>
      </c>
      <c r="B26" s="26" t="s">
        <v>53</v>
      </c>
      <c r="C26" s="27"/>
      <c r="D26" s="27"/>
      <c r="E26" s="28"/>
      <c r="F26" s="24"/>
      <c r="G26" s="24"/>
      <c r="H26" s="7"/>
    </row>
    <row r="27" s="1" customFormat="1" ht="22.5" customHeight="1" spans="1:8">
      <c r="A27" s="29"/>
      <c r="B27" s="30" t="s">
        <v>54</v>
      </c>
      <c r="C27" s="31"/>
      <c r="D27" s="31"/>
      <c r="E27" s="32"/>
      <c r="F27" s="24"/>
      <c r="G27" s="24"/>
      <c r="H27" s="7"/>
    </row>
    <row r="28" s="1" customFormat="1" ht="22.5" customHeight="1" spans="1:8">
      <c r="A28" s="17" t="s">
        <v>55</v>
      </c>
      <c r="B28" s="7" t="s">
        <v>56</v>
      </c>
      <c r="C28" s="7"/>
      <c r="D28" s="7"/>
      <c r="E28" s="7"/>
      <c r="F28" s="24"/>
      <c r="G28" s="24"/>
      <c r="H28" s="7"/>
    </row>
    <row r="29" s="1" customFormat="1" ht="22.5" customHeight="1" spans="1:8">
      <c r="A29" s="17"/>
      <c r="B29" s="7" t="s">
        <v>56</v>
      </c>
      <c r="C29" s="7"/>
      <c r="D29" s="7"/>
      <c r="E29" s="7"/>
      <c r="F29" s="24"/>
      <c r="G29" s="24"/>
      <c r="H29" s="7"/>
    </row>
    <row r="30" s="1" customFormat="1" ht="22.5" customHeight="1" spans="1:8">
      <c r="A30" s="17" t="s">
        <v>57</v>
      </c>
      <c r="B30" s="7" t="s">
        <v>58</v>
      </c>
      <c r="C30" s="7"/>
      <c r="D30" s="7"/>
      <c r="E30" s="7"/>
      <c r="F30" s="24"/>
      <c r="G30" s="24"/>
      <c r="H30" s="7"/>
    </row>
    <row r="31" s="1" customFormat="1" ht="22.5" customHeight="1" spans="1:8">
      <c r="A31" s="17"/>
      <c r="B31" s="7" t="s">
        <v>59</v>
      </c>
      <c r="C31" s="7"/>
      <c r="D31" s="7"/>
      <c r="E31" s="7"/>
      <c r="F31" s="24"/>
      <c r="G31" s="24"/>
      <c r="H31" s="7"/>
    </row>
    <row r="32" s="1" customFormat="1" ht="22.5" customHeight="1"/>
    <row r="33" s="1" customFormat="1" ht="22.5" customHeight="1" spans="1:5">
      <c r="A33" s="33" t="s">
        <v>60</v>
      </c>
      <c r="B33" s="7" t="s">
        <v>61</v>
      </c>
      <c r="C33" s="34">
        <v>1</v>
      </c>
      <c r="D33" s="7">
        <f>COUNTIF(F:F,B33)</f>
        <v>0</v>
      </c>
      <c r="E33" s="7">
        <f t="shared" ref="E33:E41" si="0">C33-D33</f>
        <v>1</v>
      </c>
    </row>
    <row r="34" s="1" customFormat="1" ht="22.5" customHeight="1" spans="1:5">
      <c r="A34" s="33" t="s">
        <v>60</v>
      </c>
      <c r="B34" s="7" t="s">
        <v>27</v>
      </c>
      <c r="C34" s="34">
        <v>973</v>
      </c>
      <c r="D34" s="7">
        <f>COUNTIF(F:F,B34)</f>
        <v>5</v>
      </c>
      <c r="E34" s="7">
        <f t="shared" si="0"/>
        <v>968</v>
      </c>
    </row>
    <row r="35" s="1" customFormat="1" ht="22.5" customHeight="1" spans="1:5">
      <c r="A35" s="33" t="s">
        <v>60</v>
      </c>
      <c r="B35" s="7" t="s">
        <v>21</v>
      </c>
      <c r="C35" s="35">
        <v>406</v>
      </c>
      <c r="D35" s="7">
        <f>COUNTIF(F:F,B35)</f>
        <v>2</v>
      </c>
      <c r="E35" s="7">
        <f t="shared" si="0"/>
        <v>404</v>
      </c>
    </row>
    <row r="36" s="1" customFormat="1" ht="22.5" customHeight="1" spans="1:5">
      <c r="A36" s="33" t="s">
        <v>60</v>
      </c>
      <c r="B36" s="17" t="s">
        <v>62</v>
      </c>
      <c r="C36" s="35">
        <v>83</v>
      </c>
      <c r="D36" s="7">
        <f>COUNTIF(F:F,"再就业")+COUNTIF(F:F,"小贷")</f>
        <v>1</v>
      </c>
      <c r="E36" s="7">
        <f t="shared" si="0"/>
        <v>82</v>
      </c>
    </row>
    <row r="37" s="1" customFormat="1" ht="22.5" customHeight="1" spans="1:5">
      <c r="A37" s="33" t="s">
        <v>60</v>
      </c>
      <c r="B37" s="17" t="s">
        <v>63</v>
      </c>
      <c r="C37" s="35">
        <v>1</v>
      </c>
      <c r="D37" s="7">
        <f>COUNTIF(F:F,B37)</f>
        <v>0</v>
      </c>
      <c r="E37" s="7">
        <f t="shared" si="0"/>
        <v>1</v>
      </c>
    </row>
    <row r="38" s="1" customFormat="1" ht="22.5" customHeight="1" spans="1:5">
      <c r="A38" s="33" t="s">
        <v>60</v>
      </c>
      <c r="B38" s="7" t="s">
        <v>64</v>
      </c>
      <c r="C38" s="35">
        <v>616</v>
      </c>
      <c r="D38" s="7">
        <f>COUNTIF(F:F,B38)</f>
        <v>0</v>
      </c>
      <c r="E38" s="7">
        <f t="shared" si="0"/>
        <v>616</v>
      </c>
    </row>
    <row r="39" s="1" customFormat="1" ht="22.5" customHeight="1" spans="1:5">
      <c r="A39" s="33" t="s">
        <v>60</v>
      </c>
      <c r="B39" s="7" t="s">
        <v>13</v>
      </c>
      <c r="C39" s="35">
        <v>919</v>
      </c>
      <c r="D39" s="7">
        <f>COUNTIF(F:F,B39)</f>
        <v>0</v>
      </c>
      <c r="E39" s="7">
        <f t="shared" si="0"/>
        <v>919</v>
      </c>
    </row>
    <row r="40" s="1" customFormat="1" ht="22.5" customHeight="1" spans="1:5">
      <c r="A40" s="33" t="s">
        <v>60</v>
      </c>
      <c r="B40" s="7" t="s">
        <v>31</v>
      </c>
      <c r="C40" s="35">
        <v>4491</v>
      </c>
      <c r="D40" s="7">
        <f>COUNTIF(F:F,B40)</f>
        <v>1</v>
      </c>
      <c r="E40" s="7">
        <f t="shared" si="0"/>
        <v>4490</v>
      </c>
    </row>
    <row r="41" s="1" customFormat="1" ht="22.5" customHeight="1" spans="1:5">
      <c r="A41" s="33" t="s">
        <v>60</v>
      </c>
      <c r="B41" s="7" t="s">
        <v>65</v>
      </c>
      <c r="C41" s="36">
        <v>42</v>
      </c>
      <c r="D41" s="7">
        <f>COUNTIF(F:F,B41)</f>
        <v>0</v>
      </c>
      <c r="E41" s="7">
        <f t="shared" si="0"/>
        <v>42</v>
      </c>
    </row>
    <row r="42" s="1" customFormat="1" ht="22.5" customHeight="1" spans="1:5">
      <c r="A42" s="37"/>
      <c r="B42" s="7"/>
      <c r="C42" s="7">
        <f>SUM(C33:C41)</f>
        <v>7532</v>
      </c>
      <c r="D42" s="7">
        <f>SUM(D33:D41)</f>
        <v>9</v>
      </c>
      <c r="E42" s="7">
        <f>SUM(E33:E41)</f>
        <v>7523</v>
      </c>
    </row>
    <row r="43" s="1" customFormat="1" ht="22.5" customHeight="1"/>
  </sheetData>
  <mergeCells count="15">
    <mergeCell ref="A1:G1"/>
    <mergeCell ref="A2:G2"/>
    <mergeCell ref="A3:G3"/>
    <mergeCell ref="B24:E24"/>
    <mergeCell ref="B25:E25"/>
    <mergeCell ref="B26:E26"/>
    <mergeCell ref="B27:E27"/>
    <mergeCell ref="B28:E28"/>
    <mergeCell ref="B29:E29"/>
    <mergeCell ref="B30:E30"/>
    <mergeCell ref="B31:E31"/>
    <mergeCell ref="A24:A25"/>
    <mergeCell ref="A26:A27"/>
    <mergeCell ref="A28:A29"/>
    <mergeCell ref="A30:A31"/>
  </mergeCells>
  <pageMargins left="0.74999998873613" right="0.74999998873613" top="0.999999984981507" bottom="0.999999984981507" header="0.509722214045487" footer="0.509722214045487"/>
  <pageSetup paperSize="9" fitToHeight="0" orientation="portrait"/>
  <headerFooter/>
  <rowBreaks count="1" manualBreakCount="1">
    <brk id="3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H42"/>
  <sheetViews>
    <sheetView view="pageBreakPreview" zoomScaleNormal="100" topLeftCell="A4" workbookViewId="0">
      <selection activeCell="X4" sqref="X$1:X$1048576"/>
    </sheetView>
  </sheetViews>
  <sheetFormatPr defaultColWidth="9" defaultRowHeight="14.25" outlineLevelCol="7"/>
  <cols>
    <col min="1" max="1" width="5" style="38" customWidth="1"/>
    <col min="2" max="2" width="7.125" style="38" customWidth="1"/>
    <col min="3" max="3" width="24.125" style="39" customWidth="1"/>
    <col min="4" max="4" width="8" style="40" customWidth="1"/>
    <col min="5" max="5" width="11.875" style="40" customWidth="1"/>
    <col min="6" max="6" width="8.75" style="38" customWidth="1"/>
    <col min="7" max="7" width="5.375" style="38" customWidth="1"/>
    <col min="8" max="8" width="10.25" style="41" customWidth="1"/>
    <col min="9" max="12" width="9" style="41"/>
    <col min="13" max="13" width="0.5" style="41" customWidth="1"/>
    <col min="14" max="17" width="9" style="41" hidden="1"/>
    <col min="18" max="16384" width="9" style="41"/>
  </cols>
  <sheetData>
    <row r="1" ht="21" customHeight="1" spans="1:8">
      <c r="A1" s="42" t="s">
        <v>0</v>
      </c>
      <c r="B1" s="43"/>
      <c r="C1" s="43"/>
      <c r="D1" s="43"/>
      <c r="E1" s="43"/>
      <c r="F1" s="43"/>
      <c r="G1" s="43"/>
      <c r="H1" s="44"/>
    </row>
    <row r="2" ht="21" customHeight="1" spans="1:8">
      <c r="A2" s="45" t="s">
        <v>1</v>
      </c>
      <c r="B2" s="46"/>
      <c r="C2" s="47"/>
      <c r="D2" s="46"/>
      <c r="E2" s="46"/>
      <c r="F2" s="46"/>
      <c r="G2" s="46"/>
      <c r="H2" s="48"/>
    </row>
    <row r="3" ht="21" customHeight="1" spans="1:8">
      <c r="A3" s="49" t="s">
        <v>2</v>
      </c>
      <c r="B3" s="50"/>
      <c r="C3" s="51"/>
      <c r="D3" s="50"/>
      <c r="E3" s="50"/>
      <c r="F3" s="50"/>
      <c r="G3" s="50"/>
      <c r="H3" s="48"/>
    </row>
    <row r="4" ht="40" customHeight="1" spans="1:8">
      <c r="A4" s="52" t="s">
        <v>3</v>
      </c>
      <c r="B4" s="53" t="s">
        <v>4</v>
      </c>
      <c r="C4" s="53" t="s">
        <v>5</v>
      </c>
      <c r="D4" s="53" t="s">
        <v>279</v>
      </c>
      <c r="E4" s="53" t="s">
        <v>7</v>
      </c>
      <c r="F4" s="54" t="s">
        <v>280</v>
      </c>
      <c r="G4" s="55" t="s">
        <v>9</v>
      </c>
      <c r="H4" s="23" t="s">
        <v>281</v>
      </c>
    </row>
    <row r="5" ht="24" customHeight="1" spans="1:8">
      <c r="A5" s="56">
        <v>1</v>
      </c>
      <c r="B5" s="57">
        <v>9537</v>
      </c>
      <c r="C5" s="62" t="s">
        <v>484</v>
      </c>
      <c r="D5" s="62" t="s">
        <v>485</v>
      </c>
      <c r="E5" s="106" t="s">
        <v>486</v>
      </c>
      <c r="F5" s="59" t="s">
        <v>31</v>
      </c>
      <c r="G5" s="60">
        <v>1</v>
      </c>
      <c r="H5" s="64"/>
    </row>
    <row r="6" ht="24" customHeight="1" spans="1:8">
      <c r="A6" s="56">
        <v>2</v>
      </c>
      <c r="B6" s="63">
        <v>11091</v>
      </c>
      <c r="C6" s="69" t="s">
        <v>487</v>
      </c>
      <c r="D6" s="63" t="s">
        <v>488</v>
      </c>
      <c r="E6" s="70" t="s">
        <v>489</v>
      </c>
      <c r="F6" s="59" t="s">
        <v>31</v>
      </c>
      <c r="G6" s="60">
        <v>1</v>
      </c>
      <c r="H6" s="61"/>
    </row>
    <row r="7" ht="24" customHeight="1" spans="1:8">
      <c r="A7" s="56">
        <v>3</v>
      </c>
      <c r="B7" s="63">
        <v>12696</v>
      </c>
      <c r="C7" s="143" t="s">
        <v>490</v>
      </c>
      <c r="D7" s="59" t="s">
        <v>491</v>
      </c>
      <c r="E7" s="107" t="s">
        <v>491</v>
      </c>
      <c r="F7" s="59" t="s">
        <v>31</v>
      </c>
      <c r="G7" s="60">
        <v>1</v>
      </c>
      <c r="H7" s="61"/>
    </row>
    <row r="8" ht="24" customHeight="1" spans="1:8">
      <c r="A8" s="56">
        <v>4</v>
      </c>
      <c r="B8" s="57">
        <v>12775</v>
      </c>
      <c r="C8" s="66" t="s">
        <v>492</v>
      </c>
      <c r="D8" s="67" t="s">
        <v>493</v>
      </c>
      <c r="E8" s="67" t="s">
        <v>493</v>
      </c>
      <c r="F8" s="59" t="s">
        <v>31</v>
      </c>
      <c r="G8" s="60">
        <v>1</v>
      </c>
      <c r="H8" s="64"/>
    </row>
    <row r="9" ht="24" customHeight="1" spans="1:8">
      <c r="A9" s="56">
        <v>5</v>
      </c>
      <c r="B9" s="63">
        <v>12877</v>
      </c>
      <c r="C9" s="143" t="s">
        <v>494</v>
      </c>
      <c r="D9" s="59" t="s">
        <v>495</v>
      </c>
      <c r="E9" s="107" t="s">
        <v>495</v>
      </c>
      <c r="F9" s="59" t="s">
        <v>31</v>
      </c>
      <c r="G9" s="60">
        <v>1</v>
      </c>
      <c r="H9" s="61"/>
    </row>
    <row r="10" ht="24" customHeight="1" spans="1:8">
      <c r="A10" s="56">
        <v>6</v>
      </c>
      <c r="B10" s="65">
        <v>12968</v>
      </c>
      <c r="C10" s="143" t="s">
        <v>496</v>
      </c>
      <c r="D10" s="59" t="s">
        <v>497</v>
      </c>
      <c r="E10" s="107" t="s">
        <v>498</v>
      </c>
      <c r="F10" s="59" t="s">
        <v>31</v>
      </c>
      <c r="G10" s="60">
        <v>1</v>
      </c>
      <c r="H10" s="61"/>
    </row>
    <row r="11" ht="24" customHeight="1" spans="1:8">
      <c r="A11" s="56">
        <v>7</v>
      </c>
      <c r="B11" s="63">
        <v>13022</v>
      </c>
      <c r="C11" s="69" t="s">
        <v>499</v>
      </c>
      <c r="D11" s="68" t="s">
        <v>500</v>
      </c>
      <c r="E11" s="68" t="s">
        <v>500</v>
      </c>
      <c r="F11" s="59" t="s">
        <v>31</v>
      </c>
      <c r="G11" s="60">
        <v>1</v>
      </c>
      <c r="H11" s="61"/>
    </row>
    <row r="12" ht="24" customHeight="1" spans="1:8">
      <c r="A12" s="56">
        <v>8</v>
      </c>
      <c r="B12" s="65">
        <v>13143</v>
      </c>
      <c r="C12" s="144" t="s">
        <v>501</v>
      </c>
      <c r="D12" s="68" t="s">
        <v>502</v>
      </c>
      <c r="E12" s="68" t="s">
        <v>503</v>
      </c>
      <c r="F12" s="59" t="s">
        <v>31</v>
      </c>
      <c r="G12" s="60">
        <v>1</v>
      </c>
      <c r="H12" s="61"/>
    </row>
    <row r="13" ht="24" customHeight="1" spans="1:8">
      <c r="A13" s="56">
        <v>9</v>
      </c>
      <c r="B13" s="65">
        <v>13998</v>
      </c>
      <c r="C13" s="66" t="s">
        <v>504</v>
      </c>
      <c r="D13" s="68" t="s">
        <v>505</v>
      </c>
      <c r="E13" s="68" t="s">
        <v>505</v>
      </c>
      <c r="F13" s="59" t="s">
        <v>31</v>
      </c>
      <c r="G13" s="60">
        <v>1</v>
      </c>
      <c r="H13" s="61"/>
    </row>
    <row r="14" ht="24" customHeight="1" spans="1:8">
      <c r="A14" s="56">
        <v>10</v>
      </c>
      <c r="B14" s="65">
        <v>14261</v>
      </c>
      <c r="C14" s="66" t="s">
        <v>506</v>
      </c>
      <c r="D14" s="68" t="s">
        <v>507</v>
      </c>
      <c r="E14" s="68" t="s">
        <v>508</v>
      </c>
      <c r="F14" s="59" t="s">
        <v>31</v>
      </c>
      <c r="G14" s="60">
        <v>1</v>
      </c>
      <c r="H14" s="61"/>
    </row>
    <row r="15" ht="24" customHeight="1" spans="1:8">
      <c r="A15" s="56">
        <v>11</v>
      </c>
      <c r="B15" s="65">
        <v>14494</v>
      </c>
      <c r="C15" s="66" t="s">
        <v>509</v>
      </c>
      <c r="D15" s="68" t="s">
        <v>510</v>
      </c>
      <c r="E15" s="68" t="s">
        <v>510</v>
      </c>
      <c r="F15" s="59" t="s">
        <v>31</v>
      </c>
      <c r="G15" s="60">
        <v>1</v>
      </c>
      <c r="H15" s="61"/>
    </row>
    <row r="16" ht="24" customHeight="1" spans="1:8">
      <c r="A16" s="56">
        <v>12</v>
      </c>
      <c r="B16" s="71">
        <v>14520</v>
      </c>
      <c r="C16" s="72" t="s">
        <v>511</v>
      </c>
      <c r="D16" s="68" t="s">
        <v>512</v>
      </c>
      <c r="E16" s="68" t="s">
        <v>513</v>
      </c>
      <c r="F16" s="59" t="s">
        <v>31</v>
      </c>
      <c r="G16" s="60">
        <v>1</v>
      </c>
      <c r="H16" s="61"/>
    </row>
    <row r="17" ht="24" customHeight="1" spans="1:8">
      <c r="A17" s="56">
        <v>13</v>
      </c>
      <c r="B17" s="63">
        <v>14534</v>
      </c>
      <c r="C17" s="58" t="s">
        <v>514</v>
      </c>
      <c r="D17" s="59" t="s">
        <v>515</v>
      </c>
      <c r="E17" s="107" t="s">
        <v>516</v>
      </c>
      <c r="F17" s="59" t="s">
        <v>31</v>
      </c>
      <c r="G17" s="60">
        <v>1</v>
      </c>
      <c r="H17" s="61"/>
    </row>
    <row r="18" ht="24" customHeight="1" spans="1:8">
      <c r="A18" s="56">
        <v>14</v>
      </c>
      <c r="B18" s="65">
        <v>14768</v>
      </c>
      <c r="C18" s="66" t="s">
        <v>517</v>
      </c>
      <c r="D18" s="68" t="s">
        <v>518</v>
      </c>
      <c r="E18" s="68" t="s">
        <v>519</v>
      </c>
      <c r="F18" s="59" t="s">
        <v>31</v>
      </c>
      <c r="G18" s="60">
        <v>1</v>
      </c>
      <c r="H18" s="61"/>
    </row>
    <row r="19" ht="13" customHeight="1" spans="1:8">
      <c r="A19" s="56"/>
      <c r="B19" s="57"/>
      <c r="C19" s="57"/>
      <c r="D19" s="57"/>
      <c r="E19" s="65"/>
      <c r="F19" s="68"/>
      <c r="G19" s="60"/>
      <c r="H19" s="61"/>
    </row>
    <row r="20" ht="15" customHeight="1" spans="1:8">
      <c r="A20" s="56"/>
      <c r="B20" s="73"/>
      <c r="C20" s="73"/>
      <c r="D20" s="74"/>
      <c r="E20" s="75"/>
      <c r="F20" s="76"/>
      <c r="G20" s="55"/>
      <c r="H20" s="48"/>
    </row>
    <row r="21" ht="21" customHeight="1" spans="1:8">
      <c r="A21" s="77" t="s">
        <v>291</v>
      </c>
      <c r="B21" s="77"/>
      <c r="C21" s="78"/>
      <c r="D21" s="77"/>
      <c r="E21" s="77"/>
      <c r="F21" s="79"/>
      <c r="G21" s="77"/>
      <c r="H21" s="48"/>
    </row>
    <row r="22" ht="26" customHeight="1" spans="1:8">
      <c r="A22" s="80" t="s">
        <v>292</v>
      </c>
      <c r="B22" s="81"/>
      <c r="C22" s="82" t="s">
        <v>293</v>
      </c>
      <c r="D22" s="83"/>
      <c r="E22" s="83"/>
      <c r="F22" s="83"/>
      <c r="G22" s="83"/>
      <c r="H22" s="84"/>
    </row>
    <row r="23" ht="24" customHeight="1" spans="1:8">
      <c r="A23" s="85"/>
      <c r="B23" s="86"/>
      <c r="C23" s="82" t="s">
        <v>294</v>
      </c>
      <c r="D23" s="83"/>
      <c r="E23" s="83"/>
      <c r="F23" s="83"/>
      <c r="G23" s="83"/>
      <c r="H23" s="84"/>
    </row>
    <row r="24" ht="24" customHeight="1" spans="1:8">
      <c r="A24" s="87"/>
      <c r="B24" s="88"/>
      <c r="C24" s="82" t="s">
        <v>295</v>
      </c>
      <c r="D24" s="83"/>
      <c r="E24" s="83"/>
      <c r="F24" s="83"/>
      <c r="G24" s="83"/>
      <c r="H24" s="84"/>
    </row>
    <row r="25" ht="32" customHeight="1" spans="1:8">
      <c r="A25" s="89" t="s">
        <v>52</v>
      </c>
      <c r="B25" s="89"/>
      <c r="C25" s="90" t="s">
        <v>296</v>
      </c>
      <c r="D25" s="90"/>
      <c r="E25" s="90"/>
      <c r="F25" s="90"/>
      <c r="G25" s="90"/>
      <c r="H25" s="90"/>
    </row>
    <row r="26" ht="25" customHeight="1" spans="1:8">
      <c r="A26" s="89" t="s">
        <v>297</v>
      </c>
      <c r="B26" s="89"/>
      <c r="C26" s="91" t="s">
        <v>298</v>
      </c>
      <c r="D26" s="91"/>
      <c r="E26" s="91"/>
      <c r="F26" s="91"/>
      <c r="G26" s="91"/>
      <c r="H26" s="91"/>
    </row>
    <row r="27" ht="27" customHeight="1" spans="1:8">
      <c r="A27" s="89"/>
      <c r="B27" s="89"/>
      <c r="C27" s="92" t="s">
        <v>299</v>
      </c>
      <c r="D27" s="93"/>
      <c r="E27" s="93"/>
      <c r="F27" s="93"/>
      <c r="G27" s="93"/>
      <c r="H27" s="94"/>
    </row>
    <row r="28" ht="24" customHeight="1" spans="1:8">
      <c r="A28" s="95" t="s">
        <v>292</v>
      </c>
      <c r="B28" s="96"/>
      <c r="C28" s="92" t="s">
        <v>300</v>
      </c>
      <c r="D28" s="97"/>
      <c r="E28" s="97"/>
      <c r="F28" s="97"/>
      <c r="G28" s="97"/>
      <c r="H28" s="98"/>
    </row>
    <row r="29" ht="24" customHeight="1" spans="1:8">
      <c r="A29" s="99"/>
      <c r="B29" s="100"/>
      <c r="C29" s="92" t="s">
        <v>301</v>
      </c>
      <c r="D29" s="97"/>
      <c r="E29" s="97"/>
      <c r="F29" s="97"/>
      <c r="G29" s="97"/>
      <c r="H29" s="98"/>
    </row>
    <row r="30" ht="21" customHeight="1" spans="1:7">
      <c r="A30" s="96"/>
      <c r="B30" s="96"/>
      <c r="D30" s="96"/>
      <c r="E30" s="96"/>
      <c r="F30" s="39"/>
      <c r="G30" s="39"/>
    </row>
    <row r="31" ht="21" customHeight="1" spans="1:7">
      <c r="A31" s="96"/>
      <c r="B31" s="96"/>
      <c r="D31" s="96"/>
      <c r="E31" s="96"/>
      <c r="F31" s="39"/>
      <c r="G31" s="39"/>
    </row>
    <row r="33" ht="21" customHeight="1" spans="1:7">
      <c r="A33" s="33" t="s">
        <v>60</v>
      </c>
      <c r="B33" s="7" t="s">
        <v>61</v>
      </c>
      <c r="C33" s="34">
        <v>1</v>
      </c>
      <c r="D33" s="7">
        <f>COUNTIF(F:F,B33)</f>
        <v>0</v>
      </c>
      <c r="E33" s="7">
        <f t="shared" ref="E33:E41" si="0">C33-D33</f>
        <v>1</v>
      </c>
      <c r="G33" s="41"/>
    </row>
    <row r="34" ht="21" customHeight="1" spans="1:7">
      <c r="A34" s="33" t="s">
        <v>60</v>
      </c>
      <c r="B34" s="7" t="s">
        <v>27</v>
      </c>
      <c r="C34" s="34">
        <v>972</v>
      </c>
      <c r="D34" s="7">
        <f>COUNTIF(F:F,B34)</f>
        <v>0</v>
      </c>
      <c r="E34" s="7">
        <f t="shared" si="0"/>
        <v>972</v>
      </c>
      <c r="G34" s="41"/>
    </row>
    <row r="35" ht="21" customHeight="1" spans="1:7">
      <c r="A35" s="33" t="s">
        <v>60</v>
      </c>
      <c r="B35" s="7" t="s">
        <v>21</v>
      </c>
      <c r="C35" s="35">
        <v>406</v>
      </c>
      <c r="D35" s="7">
        <f>COUNTIF(F:F,B35)</f>
        <v>0</v>
      </c>
      <c r="E35" s="7">
        <f t="shared" si="0"/>
        <v>406</v>
      </c>
      <c r="G35" s="41"/>
    </row>
    <row r="36" ht="21" customHeight="1" spans="1:7">
      <c r="A36" s="33" t="s">
        <v>60</v>
      </c>
      <c r="B36" s="17" t="s">
        <v>62</v>
      </c>
      <c r="C36" s="35">
        <v>83</v>
      </c>
      <c r="D36" s="7">
        <f>COUNTIF(F:F,"再就业")+COUNTIF(F:F,"小贷")</f>
        <v>0</v>
      </c>
      <c r="E36" s="7">
        <f t="shared" si="0"/>
        <v>83</v>
      </c>
      <c r="G36" s="41"/>
    </row>
    <row r="37" ht="21" customHeight="1" spans="1:7">
      <c r="A37" s="33" t="s">
        <v>60</v>
      </c>
      <c r="B37" s="17" t="s">
        <v>63</v>
      </c>
      <c r="C37" s="35">
        <v>1</v>
      </c>
      <c r="D37" s="7">
        <f>COUNTIF(F:F,B37)</f>
        <v>0</v>
      </c>
      <c r="E37" s="7">
        <f t="shared" si="0"/>
        <v>1</v>
      </c>
      <c r="G37" s="41"/>
    </row>
    <row r="38" ht="21" customHeight="1" spans="1:7">
      <c r="A38" s="33" t="s">
        <v>60</v>
      </c>
      <c r="B38" s="7" t="s">
        <v>64</v>
      </c>
      <c r="C38" s="35">
        <v>615</v>
      </c>
      <c r="D38" s="7">
        <f>COUNTIF(F:F,B38)</f>
        <v>0</v>
      </c>
      <c r="E38" s="7">
        <f t="shared" si="0"/>
        <v>615</v>
      </c>
      <c r="G38" s="41"/>
    </row>
    <row r="39" ht="21" customHeight="1" spans="1:7">
      <c r="A39" s="33" t="s">
        <v>60</v>
      </c>
      <c r="B39" s="7" t="s">
        <v>13</v>
      </c>
      <c r="C39" s="35">
        <v>919</v>
      </c>
      <c r="D39" s="7">
        <f>COUNTIF(F:F,B39)</f>
        <v>0</v>
      </c>
      <c r="E39" s="7">
        <f t="shared" si="0"/>
        <v>919</v>
      </c>
      <c r="G39" s="41"/>
    </row>
    <row r="40" ht="21" customHeight="1" spans="1:7">
      <c r="A40" s="33" t="s">
        <v>60</v>
      </c>
      <c r="B40" s="7" t="s">
        <v>31</v>
      </c>
      <c r="C40" s="35">
        <v>4505</v>
      </c>
      <c r="D40" s="7">
        <f>COUNTIF(F:F,B40)</f>
        <v>14</v>
      </c>
      <c r="E40" s="7">
        <f t="shared" si="0"/>
        <v>4491</v>
      </c>
      <c r="G40" s="41"/>
    </row>
    <row r="41" ht="21" customHeight="1" spans="1:7">
      <c r="A41" s="33" t="s">
        <v>60</v>
      </c>
      <c r="B41" s="7" t="s">
        <v>65</v>
      </c>
      <c r="C41" s="36">
        <v>42</v>
      </c>
      <c r="D41" s="7">
        <f>COUNTIF(F:F,B41)</f>
        <v>0</v>
      </c>
      <c r="E41" s="7">
        <f t="shared" si="0"/>
        <v>42</v>
      </c>
      <c r="G41" s="41"/>
    </row>
    <row r="42" ht="21" customHeight="1" spans="1:7">
      <c r="A42" s="37"/>
      <c r="B42" s="7"/>
      <c r="C42" s="7">
        <f>SUM(C33:C41)</f>
        <v>7544</v>
      </c>
      <c r="D42" s="7">
        <f>SUM(D33:D41)</f>
        <v>14</v>
      </c>
      <c r="E42" s="7">
        <f>SUM(E33:E41)</f>
        <v>7530</v>
      </c>
      <c r="G42" s="41"/>
    </row>
  </sheetData>
  <sortState ref="B5:E18">
    <sortCondition ref="B5:B18"/>
  </sortState>
  <mergeCells count="15">
    <mergeCell ref="A1:H1"/>
    <mergeCell ref="A2:G2"/>
    <mergeCell ref="A3:G3"/>
    <mergeCell ref="C22:H22"/>
    <mergeCell ref="C23:H23"/>
    <mergeCell ref="C24:H24"/>
    <mergeCell ref="A25:B25"/>
    <mergeCell ref="C25:H25"/>
    <mergeCell ref="C26:H26"/>
    <mergeCell ref="C27:H27"/>
    <mergeCell ref="C28:H28"/>
    <mergeCell ref="C29:H29"/>
    <mergeCell ref="A22:B24"/>
    <mergeCell ref="A26:B27"/>
    <mergeCell ref="A28:B29"/>
  </mergeCells>
  <pageMargins left="0.74999998873613" right="0.74999998873613" top="0.999999984981507" bottom="0.999999984981507" header="0.499999992490753" footer="0.499999992490753"/>
  <pageSetup paperSize="9" fitToHeight="0" orientation="portrait"/>
  <headerFooter/>
  <rowBreaks count="2" manualBreakCount="2">
    <brk id="29" max="16383" man="1"/>
    <brk id="42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H43"/>
  <sheetViews>
    <sheetView view="pageBreakPreview" zoomScaleNormal="100" topLeftCell="A28" workbookViewId="0">
      <selection activeCell="E33" sqref="E33:E41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1">
      <c r="A1" s="2" t="s">
        <v>0</v>
      </c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437</v>
      </c>
    </row>
    <row r="5" s="1" customFormat="1" ht="21" customHeight="1" spans="1:8">
      <c r="A5" s="11">
        <v>1</v>
      </c>
      <c r="B5" s="17">
        <v>4223</v>
      </c>
      <c r="C5" s="141" t="s">
        <v>520</v>
      </c>
      <c r="D5" s="17" t="s">
        <v>521</v>
      </c>
      <c r="E5" s="17" t="s">
        <v>522</v>
      </c>
      <c r="F5" s="13" t="s">
        <v>21</v>
      </c>
      <c r="G5" s="14">
        <v>1</v>
      </c>
      <c r="H5" s="11"/>
    </row>
    <row r="6" s="1" customFormat="1" ht="22.5" customHeight="1" spans="1:8">
      <c r="A6" s="11">
        <v>2</v>
      </c>
      <c r="B6" s="12">
        <v>4356</v>
      </c>
      <c r="C6" s="141" t="s">
        <v>523</v>
      </c>
      <c r="D6" s="12" t="s">
        <v>524</v>
      </c>
      <c r="E6" s="12" t="s">
        <v>525</v>
      </c>
      <c r="F6" s="13" t="s">
        <v>27</v>
      </c>
      <c r="G6" s="14">
        <v>1</v>
      </c>
      <c r="H6" s="7"/>
    </row>
    <row r="7" s="1" customFormat="1" ht="22.5" customHeight="1" spans="1:8">
      <c r="A7" s="11">
        <v>3</v>
      </c>
      <c r="B7" s="17">
        <v>5254</v>
      </c>
      <c r="C7" s="12" t="s">
        <v>462</v>
      </c>
      <c r="D7" s="17" t="s">
        <v>463</v>
      </c>
      <c r="E7" s="17" t="s">
        <v>464</v>
      </c>
      <c r="F7" s="13" t="s">
        <v>27</v>
      </c>
      <c r="G7" s="14">
        <v>1</v>
      </c>
      <c r="H7" s="7" t="s">
        <v>526</v>
      </c>
    </row>
    <row r="8" s="1" customFormat="1" ht="22.5" customHeight="1" spans="1:8">
      <c r="A8" s="11">
        <v>4</v>
      </c>
      <c r="B8" s="17">
        <v>5309</v>
      </c>
      <c r="C8" s="12" t="s">
        <v>527</v>
      </c>
      <c r="D8" s="17" t="s">
        <v>528</v>
      </c>
      <c r="E8" s="17" t="s">
        <v>529</v>
      </c>
      <c r="F8" s="13" t="s">
        <v>27</v>
      </c>
      <c r="G8" s="14">
        <v>1</v>
      </c>
      <c r="H8" s="7"/>
    </row>
    <row r="9" s="1" customFormat="1" ht="18.75" spans="1:8">
      <c r="A9" s="11">
        <v>5</v>
      </c>
      <c r="B9" s="12">
        <v>4716</v>
      </c>
      <c r="C9" s="12" t="s">
        <v>530</v>
      </c>
      <c r="D9" s="12" t="s">
        <v>531</v>
      </c>
      <c r="E9" s="12" t="s">
        <v>532</v>
      </c>
      <c r="F9" s="13" t="s">
        <v>64</v>
      </c>
      <c r="G9" s="14">
        <v>1</v>
      </c>
      <c r="H9" s="7"/>
    </row>
    <row r="10" s="1" customFormat="1" ht="22.5" customHeight="1" spans="1:8">
      <c r="A10" s="11">
        <v>6</v>
      </c>
      <c r="B10" s="17">
        <v>9465</v>
      </c>
      <c r="C10" s="12" t="s">
        <v>530</v>
      </c>
      <c r="D10" s="17" t="s">
        <v>533</v>
      </c>
      <c r="E10" s="17" t="s">
        <v>534</v>
      </c>
      <c r="F10" s="13" t="s">
        <v>31</v>
      </c>
      <c r="G10" s="14">
        <v>1</v>
      </c>
      <c r="H10" s="7"/>
    </row>
    <row r="11" s="1" customFormat="1" ht="22.5" customHeight="1" spans="1:8">
      <c r="A11" s="11">
        <v>7</v>
      </c>
      <c r="B11" s="17">
        <v>14866</v>
      </c>
      <c r="C11" s="17" t="s">
        <v>535</v>
      </c>
      <c r="D11" s="17" t="s">
        <v>536</v>
      </c>
      <c r="E11" s="17" t="s">
        <v>537</v>
      </c>
      <c r="F11" s="13" t="s">
        <v>31</v>
      </c>
      <c r="G11" s="14">
        <v>1</v>
      </c>
      <c r="H11" s="7"/>
    </row>
    <row r="12" s="1" customFormat="1" ht="22.5" customHeight="1" spans="1:8">
      <c r="A12" s="11">
        <v>8</v>
      </c>
      <c r="B12" s="17">
        <v>14867</v>
      </c>
      <c r="C12" s="17" t="s">
        <v>538</v>
      </c>
      <c r="D12" s="17" t="s">
        <v>539</v>
      </c>
      <c r="E12" s="17" t="s">
        <v>539</v>
      </c>
      <c r="F12" s="13" t="s">
        <v>31</v>
      </c>
      <c r="G12" s="14">
        <v>1</v>
      </c>
      <c r="H12" s="7"/>
    </row>
    <row r="13" s="1" customFormat="1" ht="22.5" customHeight="1" spans="1:8">
      <c r="A13" s="11">
        <v>9</v>
      </c>
      <c r="B13" s="17"/>
      <c r="C13" s="17"/>
      <c r="D13" s="17"/>
      <c r="E13" s="17"/>
      <c r="F13" s="13"/>
      <c r="G13" s="14">
        <v>1</v>
      </c>
      <c r="H13" s="7"/>
    </row>
    <row r="14" s="1" customFormat="1" ht="22.5" customHeight="1" spans="1:8">
      <c r="A14" s="11">
        <v>10</v>
      </c>
      <c r="B14" s="17"/>
      <c r="C14" s="17"/>
      <c r="D14" s="17"/>
      <c r="E14" s="17"/>
      <c r="F14" s="13"/>
      <c r="G14" s="14">
        <v>1</v>
      </c>
      <c r="H14" s="7"/>
    </row>
    <row r="15" s="1" customFormat="1" ht="22.5" customHeight="1" spans="1:8">
      <c r="A15" s="11">
        <v>11</v>
      </c>
      <c r="B15" s="12"/>
      <c r="C15" s="12"/>
      <c r="D15" s="12"/>
      <c r="E15" s="12"/>
      <c r="F15" s="13"/>
      <c r="G15" s="14">
        <v>1</v>
      </c>
      <c r="H15" s="7"/>
    </row>
    <row r="16" s="1" customFormat="1" ht="22.5" customHeight="1" spans="1:8">
      <c r="A16" s="11">
        <v>12</v>
      </c>
      <c r="B16" s="12"/>
      <c r="C16" s="12"/>
      <c r="D16" s="12"/>
      <c r="E16" s="12"/>
      <c r="F16" s="13"/>
      <c r="G16" s="14">
        <v>1</v>
      </c>
      <c r="H16" s="7"/>
    </row>
    <row r="17" s="1" customFormat="1" ht="22.5" customHeight="1" spans="1:8">
      <c r="A17" s="11">
        <v>13</v>
      </c>
      <c r="B17" s="12"/>
      <c r="C17" s="12"/>
      <c r="D17" s="12"/>
      <c r="E17" s="12"/>
      <c r="F17" s="13"/>
      <c r="G17" s="14">
        <v>1</v>
      </c>
      <c r="H17" s="7"/>
    </row>
    <row r="18" s="1" customFormat="1" ht="22.5" customHeight="1" spans="1:8">
      <c r="A18" s="11">
        <v>14</v>
      </c>
      <c r="B18" s="12"/>
      <c r="C18" s="12"/>
      <c r="D18" s="12"/>
      <c r="E18" s="12"/>
      <c r="F18" s="17"/>
      <c r="G18" s="14">
        <v>1</v>
      </c>
      <c r="H18" s="7"/>
    </row>
    <row r="19" s="1" customFormat="1" ht="22.5" customHeight="1" spans="1:8">
      <c r="A19" s="11">
        <v>15</v>
      </c>
      <c r="B19" s="101"/>
      <c r="C19" s="101"/>
      <c r="D19" s="102"/>
      <c r="E19" s="102"/>
      <c r="F19" s="17"/>
      <c r="G19" s="14">
        <v>1</v>
      </c>
      <c r="H19" s="7"/>
    </row>
    <row r="20" s="1" customFormat="1" ht="22.5" customHeight="1" spans="1:8">
      <c r="A20" s="103"/>
      <c r="B20" s="104"/>
      <c r="C20" s="104"/>
      <c r="D20" s="104"/>
      <c r="E20" s="104"/>
      <c r="F20" s="104"/>
      <c r="G20" s="105"/>
      <c r="H20" s="23"/>
    </row>
    <row r="21" s="1" customFormat="1" ht="22.5" customHeight="1" spans="1:8">
      <c r="A21" s="103"/>
      <c r="B21" s="104"/>
      <c r="C21" s="104"/>
      <c r="D21" s="104"/>
      <c r="E21" s="104"/>
      <c r="F21" s="104"/>
      <c r="G21" s="104"/>
      <c r="H21" s="23"/>
    </row>
    <row r="22" s="1" customFormat="1" ht="22.5" customHeight="1" spans="1:7">
      <c r="A22" s="19" t="s">
        <v>47</v>
      </c>
      <c r="B22" s="20"/>
      <c r="C22" s="20"/>
      <c r="D22" s="20"/>
      <c r="E22" s="20"/>
      <c r="F22" s="20"/>
      <c r="G22" s="20"/>
    </row>
    <row r="23" s="1" customFormat="1" ht="22.5" customHeight="1" spans="1:8">
      <c r="A23" s="21" t="s">
        <v>48</v>
      </c>
      <c r="B23" s="22"/>
      <c r="C23" s="22"/>
      <c r="D23" s="22"/>
      <c r="E23" s="23"/>
      <c r="F23" s="24"/>
      <c r="G23" s="24"/>
      <c r="H23" s="7"/>
    </row>
    <row r="24" s="1" customFormat="1" ht="22.5" customHeight="1" spans="1:8">
      <c r="A24" s="7" t="s">
        <v>49</v>
      </c>
      <c r="B24" s="7" t="s">
        <v>50</v>
      </c>
      <c r="C24" s="7"/>
      <c r="D24" s="7"/>
      <c r="E24" s="7"/>
      <c r="F24" s="24"/>
      <c r="G24" s="24"/>
      <c r="H24" s="7"/>
    </row>
    <row r="25" s="1" customFormat="1" ht="22.5" customHeight="1" spans="1:8">
      <c r="A25" s="7"/>
      <c r="B25" s="7" t="s">
        <v>51</v>
      </c>
      <c r="C25" s="7"/>
      <c r="D25" s="7"/>
      <c r="E25" s="7"/>
      <c r="F25" s="24"/>
      <c r="G25" s="24"/>
      <c r="H25" s="7"/>
    </row>
    <row r="26" s="1" customFormat="1" ht="22.5" customHeight="1" spans="1:8">
      <c r="A26" s="25" t="s">
        <v>52</v>
      </c>
      <c r="B26" s="26" t="s">
        <v>53</v>
      </c>
      <c r="C26" s="27"/>
      <c r="D26" s="27"/>
      <c r="E26" s="28"/>
      <c r="F26" s="24"/>
      <c r="G26" s="24"/>
      <c r="H26" s="7"/>
    </row>
    <row r="27" s="1" customFormat="1" ht="22.5" customHeight="1" spans="1:8">
      <c r="A27" s="29"/>
      <c r="B27" s="30" t="s">
        <v>54</v>
      </c>
      <c r="C27" s="31"/>
      <c r="D27" s="31"/>
      <c r="E27" s="32"/>
      <c r="F27" s="24"/>
      <c r="G27" s="24"/>
      <c r="H27" s="7"/>
    </row>
    <row r="28" s="1" customFormat="1" ht="22.5" customHeight="1" spans="1:8">
      <c r="A28" s="17" t="s">
        <v>55</v>
      </c>
      <c r="B28" s="7" t="s">
        <v>56</v>
      </c>
      <c r="C28" s="7"/>
      <c r="D28" s="7"/>
      <c r="E28" s="7"/>
      <c r="F28" s="24"/>
      <c r="G28" s="24"/>
      <c r="H28" s="7"/>
    </row>
    <row r="29" s="1" customFormat="1" ht="22.5" customHeight="1" spans="1:8">
      <c r="A29" s="17"/>
      <c r="B29" s="7" t="s">
        <v>56</v>
      </c>
      <c r="C29" s="7"/>
      <c r="D29" s="7"/>
      <c r="E29" s="7"/>
      <c r="F29" s="24"/>
      <c r="G29" s="24"/>
      <c r="H29" s="7"/>
    </row>
    <row r="30" s="1" customFormat="1" ht="22.5" customHeight="1" spans="1:8">
      <c r="A30" s="17" t="s">
        <v>57</v>
      </c>
      <c r="B30" s="7" t="s">
        <v>58</v>
      </c>
      <c r="C30" s="7"/>
      <c r="D30" s="7"/>
      <c r="E30" s="7"/>
      <c r="F30" s="24"/>
      <c r="G30" s="24"/>
      <c r="H30" s="7"/>
    </row>
    <row r="31" s="1" customFormat="1" ht="22.5" customHeight="1" spans="1:8">
      <c r="A31" s="17"/>
      <c r="B31" s="7" t="s">
        <v>59</v>
      </c>
      <c r="C31" s="7"/>
      <c r="D31" s="7"/>
      <c r="E31" s="7"/>
      <c r="F31" s="24"/>
      <c r="G31" s="24"/>
      <c r="H31" s="7"/>
    </row>
    <row r="32" s="1" customFormat="1" ht="22.5" customHeight="1"/>
    <row r="33" s="1" customFormat="1" ht="22.5" customHeight="1" spans="1:5">
      <c r="A33" s="33" t="s">
        <v>60</v>
      </c>
      <c r="B33" s="7" t="s">
        <v>61</v>
      </c>
      <c r="C33" s="34">
        <v>1</v>
      </c>
      <c r="D33" s="7">
        <f>COUNTIF(F:F,B33)</f>
        <v>0</v>
      </c>
      <c r="E33" s="7">
        <f t="shared" ref="E33:E41" si="0">C33-D33</f>
        <v>1</v>
      </c>
    </row>
    <row r="34" s="1" customFormat="1" ht="22.5" customHeight="1" spans="1:5">
      <c r="A34" s="33" t="s">
        <v>60</v>
      </c>
      <c r="B34" s="7" t="s">
        <v>27</v>
      </c>
      <c r="C34" s="34">
        <v>974</v>
      </c>
      <c r="D34" s="7">
        <f>COUNTIF(F:F,B34)</f>
        <v>3</v>
      </c>
      <c r="E34" s="7">
        <f t="shared" si="0"/>
        <v>971</v>
      </c>
    </row>
    <row r="35" s="1" customFormat="1" ht="22.5" customHeight="1" spans="1:5">
      <c r="A35" s="33" t="s">
        <v>60</v>
      </c>
      <c r="B35" s="7" t="s">
        <v>21</v>
      </c>
      <c r="C35" s="35">
        <v>407</v>
      </c>
      <c r="D35" s="7">
        <f>COUNTIF(F:F,B35)</f>
        <v>1</v>
      </c>
      <c r="E35" s="7">
        <f t="shared" si="0"/>
        <v>406</v>
      </c>
    </row>
    <row r="36" s="1" customFormat="1" ht="22.5" customHeight="1" spans="1:5">
      <c r="A36" s="33" t="s">
        <v>60</v>
      </c>
      <c r="B36" s="17" t="s">
        <v>62</v>
      </c>
      <c r="C36" s="35">
        <v>83</v>
      </c>
      <c r="D36" s="7">
        <f>COUNTIF(F:F,"再就业")+COUNTIF(F:F,"小贷")</f>
        <v>0</v>
      </c>
      <c r="E36" s="7">
        <f t="shared" si="0"/>
        <v>83</v>
      </c>
    </row>
    <row r="37" s="1" customFormat="1" ht="22.5" customHeight="1" spans="1:5">
      <c r="A37" s="33" t="s">
        <v>60</v>
      </c>
      <c r="B37" s="17" t="s">
        <v>63</v>
      </c>
      <c r="C37" s="35">
        <v>1</v>
      </c>
      <c r="D37" s="7">
        <f>COUNTIF(F:F,B37)</f>
        <v>0</v>
      </c>
      <c r="E37" s="7">
        <f t="shared" si="0"/>
        <v>1</v>
      </c>
    </row>
    <row r="38" s="1" customFormat="1" ht="22.5" customHeight="1" spans="1:5">
      <c r="A38" s="33" t="s">
        <v>60</v>
      </c>
      <c r="B38" s="7" t="s">
        <v>64</v>
      </c>
      <c r="C38" s="35">
        <v>616</v>
      </c>
      <c r="D38" s="7">
        <f>COUNTIF(F:F,B38)</f>
        <v>1</v>
      </c>
      <c r="E38" s="7">
        <f t="shared" si="0"/>
        <v>615</v>
      </c>
    </row>
    <row r="39" s="1" customFormat="1" ht="22.5" customHeight="1" spans="1:5">
      <c r="A39" s="33" t="s">
        <v>60</v>
      </c>
      <c r="B39" s="7" t="s">
        <v>13</v>
      </c>
      <c r="C39" s="35">
        <v>919</v>
      </c>
      <c r="D39" s="7">
        <f>COUNTIF(F:F,B39)</f>
        <v>0</v>
      </c>
      <c r="E39" s="7">
        <f t="shared" si="0"/>
        <v>919</v>
      </c>
    </row>
    <row r="40" s="1" customFormat="1" ht="22.5" customHeight="1" spans="1:5">
      <c r="A40" s="33" t="s">
        <v>60</v>
      </c>
      <c r="B40" s="7" t="s">
        <v>31</v>
      </c>
      <c r="C40" s="35">
        <v>4508</v>
      </c>
      <c r="D40" s="7">
        <f>COUNTIF(F:F,B40)</f>
        <v>3</v>
      </c>
      <c r="E40" s="7">
        <f t="shared" si="0"/>
        <v>4505</v>
      </c>
    </row>
    <row r="41" s="1" customFormat="1" ht="22.5" customHeight="1" spans="1:5">
      <c r="A41" s="33" t="s">
        <v>60</v>
      </c>
      <c r="B41" s="7" t="s">
        <v>65</v>
      </c>
      <c r="C41" s="36">
        <v>42</v>
      </c>
      <c r="D41" s="7">
        <f>COUNTIF(F:F,B41)</f>
        <v>0</v>
      </c>
      <c r="E41" s="7">
        <f t="shared" si="0"/>
        <v>42</v>
      </c>
    </row>
    <row r="42" s="1" customFormat="1" ht="22.5" customHeight="1" spans="1:5">
      <c r="A42" s="37"/>
      <c r="B42" s="7"/>
      <c r="C42" s="7">
        <f>SUM(C33:C41)</f>
        <v>7551</v>
      </c>
      <c r="D42" s="7">
        <f>SUM(D33:D41)</f>
        <v>8</v>
      </c>
      <c r="E42" s="7">
        <f>SUM(E33:E41)</f>
        <v>7543</v>
      </c>
    </row>
    <row r="43" s="1" customFormat="1" ht="22.5" customHeight="1"/>
  </sheetData>
  <sortState ref="B5:F12">
    <sortCondition ref="B5:B12"/>
  </sortState>
  <mergeCells count="15">
    <mergeCell ref="A1:G1"/>
    <mergeCell ref="A2:G2"/>
    <mergeCell ref="A3:G3"/>
    <mergeCell ref="B24:E24"/>
    <mergeCell ref="B25:E25"/>
    <mergeCell ref="B26:E26"/>
    <mergeCell ref="B27:E27"/>
    <mergeCell ref="B28:E28"/>
    <mergeCell ref="B29:E29"/>
    <mergeCell ref="B30:E30"/>
    <mergeCell ref="B31:E31"/>
    <mergeCell ref="A24:A25"/>
    <mergeCell ref="A26:A27"/>
    <mergeCell ref="A28:A29"/>
    <mergeCell ref="A30:A31"/>
  </mergeCells>
  <pageMargins left="0.74999998873613" right="0.74999998873613" top="0.999999984981507" bottom="0.999999984981507" header="0.509722214045487" footer="0.509722214045487"/>
  <pageSetup paperSize="9" fitToHeight="0" orientation="portrait"/>
  <headerFooter/>
  <rowBreaks count="1" manualBreakCount="1">
    <brk id="3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H43"/>
  <sheetViews>
    <sheetView view="pageBreakPreview" zoomScaleNormal="100" workbookViewId="0">
      <selection activeCell="D13" sqref="D13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1">
      <c r="A1" s="2" t="s">
        <v>0</v>
      </c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437</v>
      </c>
    </row>
    <row r="5" s="1" customFormat="1" ht="27.75" customHeight="1" spans="1:8">
      <c r="A5" s="11">
        <v>1</v>
      </c>
      <c r="B5" s="17">
        <v>1475</v>
      </c>
      <c r="C5" s="17" t="s">
        <v>540</v>
      </c>
      <c r="D5" s="12" t="s">
        <v>541</v>
      </c>
      <c r="E5" s="17" t="s">
        <v>541</v>
      </c>
      <c r="F5" s="13" t="s">
        <v>13</v>
      </c>
      <c r="G5" s="14">
        <v>1</v>
      </c>
      <c r="H5" s="11"/>
    </row>
    <row r="6" s="1" customFormat="1" ht="22.5" customHeight="1" spans="1:8">
      <c r="A6" s="11">
        <v>2</v>
      </c>
      <c r="B6" s="12">
        <v>1742</v>
      </c>
      <c r="C6" s="12" t="s">
        <v>542</v>
      </c>
      <c r="D6" s="12" t="s">
        <v>543</v>
      </c>
      <c r="E6" s="12" t="s">
        <v>543</v>
      </c>
      <c r="F6" s="13" t="s">
        <v>13</v>
      </c>
      <c r="G6" s="14">
        <v>1</v>
      </c>
      <c r="H6" s="7"/>
    </row>
    <row r="7" s="1" customFormat="1" ht="22.5" customHeight="1" spans="1:8">
      <c r="A7" s="11">
        <v>3</v>
      </c>
      <c r="B7" s="12">
        <v>4815</v>
      </c>
      <c r="C7" s="141" t="s">
        <v>544</v>
      </c>
      <c r="D7" s="12" t="s">
        <v>545</v>
      </c>
      <c r="E7" s="12" t="s">
        <v>546</v>
      </c>
      <c r="F7" s="13" t="s">
        <v>27</v>
      </c>
      <c r="G7" s="14">
        <v>1</v>
      </c>
      <c r="H7" s="7"/>
    </row>
    <row r="8" s="1" customFormat="1" ht="22.5" customHeight="1" spans="1:8">
      <c r="A8" s="11">
        <v>4</v>
      </c>
      <c r="B8" s="17">
        <v>5228</v>
      </c>
      <c r="C8" s="12" t="s">
        <v>547</v>
      </c>
      <c r="D8" s="17" t="s">
        <v>548</v>
      </c>
      <c r="E8" s="17" t="s">
        <v>549</v>
      </c>
      <c r="F8" s="13" t="s">
        <v>27</v>
      </c>
      <c r="G8" s="14">
        <v>1</v>
      </c>
      <c r="H8" s="7"/>
    </row>
    <row r="9" s="1" customFormat="1" ht="18.75" spans="1:8">
      <c r="A9" s="11">
        <v>5</v>
      </c>
      <c r="B9" s="17">
        <v>9210</v>
      </c>
      <c r="C9" s="142" t="s">
        <v>550</v>
      </c>
      <c r="D9" s="17" t="s">
        <v>551</v>
      </c>
      <c r="E9" s="17" t="s">
        <v>551</v>
      </c>
      <c r="F9" s="13" t="s">
        <v>31</v>
      </c>
      <c r="G9" s="14">
        <v>1</v>
      </c>
      <c r="H9" s="7"/>
    </row>
    <row r="10" s="1" customFormat="1" ht="22.5" customHeight="1" spans="1:8">
      <c r="A10" s="11">
        <v>6</v>
      </c>
      <c r="B10" s="17">
        <v>9465</v>
      </c>
      <c r="C10" s="12" t="s">
        <v>552</v>
      </c>
      <c r="D10" s="17" t="s">
        <v>533</v>
      </c>
      <c r="E10" s="17" t="s">
        <v>534</v>
      </c>
      <c r="F10" s="13" t="s">
        <v>31</v>
      </c>
      <c r="G10" s="14">
        <v>1</v>
      </c>
      <c r="H10" s="7" t="s">
        <v>526</v>
      </c>
    </row>
    <row r="11" s="1" customFormat="1" ht="22.5" customHeight="1" spans="1:8">
      <c r="A11" s="11">
        <v>7</v>
      </c>
      <c r="B11" s="17">
        <v>12153</v>
      </c>
      <c r="C11" s="17" t="s">
        <v>553</v>
      </c>
      <c r="D11" s="17" t="s">
        <v>554</v>
      </c>
      <c r="E11" s="17" t="s">
        <v>555</v>
      </c>
      <c r="F11" s="13" t="s">
        <v>31</v>
      </c>
      <c r="G11" s="14">
        <v>1</v>
      </c>
      <c r="H11" s="7"/>
    </row>
    <row r="12" s="1" customFormat="1" ht="22.5" customHeight="1" spans="1:8">
      <c r="A12" s="11">
        <v>8</v>
      </c>
      <c r="B12" s="17">
        <v>13919</v>
      </c>
      <c r="C12" s="17" t="s">
        <v>556</v>
      </c>
      <c r="D12" s="17" t="s">
        <v>557</v>
      </c>
      <c r="E12" s="17" t="s">
        <v>558</v>
      </c>
      <c r="F12" s="13" t="s">
        <v>31</v>
      </c>
      <c r="G12" s="14">
        <v>1</v>
      </c>
      <c r="H12" s="7"/>
    </row>
    <row r="13" s="1" customFormat="1" ht="22.5" customHeight="1" spans="1:8">
      <c r="A13" s="11">
        <v>9</v>
      </c>
      <c r="B13" s="17"/>
      <c r="C13" s="17"/>
      <c r="D13" s="17"/>
      <c r="E13" s="17"/>
      <c r="F13" s="13"/>
      <c r="G13" s="14">
        <v>1</v>
      </c>
      <c r="H13" s="7"/>
    </row>
    <row r="14" s="1" customFormat="1" ht="22.5" customHeight="1" spans="1:8">
      <c r="A14" s="11">
        <v>10</v>
      </c>
      <c r="B14" s="17"/>
      <c r="C14" s="17"/>
      <c r="D14" s="17"/>
      <c r="E14" s="17"/>
      <c r="F14" s="13"/>
      <c r="G14" s="14">
        <v>1</v>
      </c>
      <c r="H14" s="7"/>
    </row>
    <row r="15" s="1" customFormat="1" ht="22.5" customHeight="1" spans="1:8">
      <c r="A15" s="11">
        <v>11</v>
      </c>
      <c r="B15" s="12"/>
      <c r="C15" s="12"/>
      <c r="D15" s="12"/>
      <c r="E15" s="12"/>
      <c r="F15" s="13"/>
      <c r="G15" s="14">
        <v>1</v>
      </c>
      <c r="H15" s="7"/>
    </row>
    <row r="16" s="1" customFormat="1" ht="22.5" customHeight="1" spans="1:8">
      <c r="A16" s="11">
        <v>12</v>
      </c>
      <c r="B16" s="12"/>
      <c r="C16" s="12"/>
      <c r="D16" s="12"/>
      <c r="E16" s="12"/>
      <c r="F16" s="13"/>
      <c r="G16" s="14">
        <v>1</v>
      </c>
      <c r="H16" s="7"/>
    </row>
    <row r="17" s="1" customFormat="1" ht="22.5" customHeight="1" spans="1:8">
      <c r="A17" s="11">
        <v>13</v>
      </c>
      <c r="B17" s="12"/>
      <c r="C17" s="12"/>
      <c r="D17" s="12"/>
      <c r="E17" s="12"/>
      <c r="F17" s="13"/>
      <c r="G17" s="14">
        <v>1</v>
      </c>
      <c r="H17" s="7"/>
    </row>
    <row r="18" s="1" customFormat="1" ht="22.5" customHeight="1" spans="1:8">
      <c r="A18" s="11">
        <v>14</v>
      </c>
      <c r="B18" s="12"/>
      <c r="C18" s="12"/>
      <c r="D18" s="12"/>
      <c r="E18" s="12"/>
      <c r="F18" s="17"/>
      <c r="G18" s="14">
        <v>1</v>
      </c>
      <c r="H18" s="7"/>
    </row>
    <row r="19" s="1" customFormat="1" ht="22.5" customHeight="1" spans="1:8">
      <c r="A19" s="11">
        <v>15</v>
      </c>
      <c r="B19" s="101"/>
      <c r="C19" s="101"/>
      <c r="D19" s="102"/>
      <c r="E19" s="102"/>
      <c r="F19" s="17"/>
      <c r="G19" s="14">
        <v>1</v>
      </c>
      <c r="H19" s="7"/>
    </row>
    <row r="20" s="1" customFormat="1" ht="22.5" customHeight="1" spans="1:8">
      <c r="A20" s="103"/>
      <c r="B20" s="104"/>
      <c r="C20" s="104"/>
      <c r="D20" s="104"/>
      <c r="E20" s="104"/>
      <c r="F20" s="104"/>
      <c r="G20" s="105"/>
      <c r="H20" s="23"/>
    </row>
    <row r="21" s="1" customFormat="1" ht="22.5" customHeight="1" spans="1:8">
      <c r="A21" s="103"/>
      <c r="B21" s="104"/>
      <c r="C21" s="104"/>
      <c r="D21" s="104"/>
      <c r="E21" s="104"/>
      <c r="F21" s="104"/>
      <c r="G21" s="104"/>
      <c r="H21" s="23"/>
    </row>
    <row r="22" s="1" customFormat="1" ht="22.5" customHeight="1" spans="1:7">
      <c r="A22" s="19" t="s">
        <v>47</v>
      </c>
      <c r="B22" s="20"/>
      <c r="C22" s="20"/>
      <c r="D22" s="20"/>
      <c r="E22" s="20"/>
      <c r="F22" s="20"/>
      <c r="G22" s="20"/>
    </row>
    <row r="23" s="1" customFormat="1" ht="22.5" customHeight="1" spans="1:8">
      <c r="A23" s="21" t="s">
        <v>48</v>
      </c>
      <c r="B23" s="22"/>
      <c r="C23" s="22"/>
      <c r="D23" s="22"/>
      <c r="E23" s="23"/>
      <c r="F23" s="24"/>
      <c r="G23" s="24"/>
      <c r="H23" s="7"/>
    </row>
    <row r="24" s="1" customFormat="1" ht="22.5" customHeight="1" spans="1:8">
      <c r="A24" s="7" t="s">
        <v>49</v>
      </c>
      <c r="B24" s="7" t="s">
        <v>50</v>
      </c>
      <c r="C24" s="7"/>
      <c r="D24" s="7"/>
      <c r="E24" s="7"/>
      <c r="F24" s="24"/>
      <c r="G24" s="24"/>
      <c r="H24" s="7"/>
    </row>
    <row r="25" s="1" customFormat="1" ht="22.5" customHeight="1" spans="1:8">
      <c r="A25" s="7"/>
      <c r="B25" s="7" t="s">
        <v>51</v>
      </c>
      <c r="C25" s="7"/>
      <c r="D25" s="7"/>
      <c r="E25" s="7"/>
      <c r="F25" s="24"/>
      <c r="G25" s="24"/>
      <c r="H25" s="7"/>
    </row>
    <row r="26" s="1" customFormat="1" ht="22.5" customHeight="1" spans="1:8">
      <c r="A26" s="25" t="s">
        <v>52</v>
      </c>
      <c r="B26" s="26" t="s">
        <v>53</v>
      </c>
      <c r="C26" s="27"/>
      <c r="D26" s="27"/>
      <c r="E26" s="28"/>
      <c r="F26" s="24"/>
      <c r="G26" s="24"/>
      <c r="H26" s="7"/>
    </row>
    <row r="27" s="1" customFormat="1" ht="22.5" customHeight="1" spans="1:8">
      <c r="A27" s="29"/>
      <c r="B27" s="30" t="s">
        <v>54</v>
      </c>
      <c r="C27" s="31"/>
      <c r="D27" s="31"/>
      <c r="E27" s="32"/>
      <c r="F27" s="24"/>
      <c r="G27" s="24"/>
      <c r="H27" s="7"/>
    </row>
    <row r="28" s="1" customFormat="1" ht="22.5" customHeight="1" spans="1:8">
      <c r="A28" s="17" t="s">
        <v>55</v>
      </c>
      <c r="B28" s="7" t="s">
        <v>56</v>
      </c>
      <c r="C28" s="7"/>
      <c r="D28" s="7"/>
      <c r="E28" s="7"/>
      <c r="F28" s="24"/>
      <c r="G28" s="24"/>
      <c r="H28" s="7"/>
    </row>
    <row r="29" s="1" customFormat="1" ht="22.5" customHeight="1" spans="1:8">
      <c r="A29" s="17"/>
      <c r="B29" s="7" t="s">
        <v>56</v>
      </c>
      <c r="C29" s="7"/>
      <c r="D29" s="7"/>
      <c r="E29" s="7"/>
      <c r="F29" s="24"/>
      <c r="G29" s="24"/>
      <c r="H29" s="7"/>
    </row>
    <row r="30" s="1" customFormat="1" ht="22.5" customHeight="1" spans="1:8">
      <c r="A30" s="17" t="s">
        <v>57</v>
      </c>
      <c r="B30" s="7" t="s">
        <v>58</v>
      </c>
      <c r="C30" s="7"/>
      <c r="D30" s="7"/>
      <c r="E30" s="7"/>
      <c r="F30" s="24"/>
      <c r="G30" s="24"/>
      <c r="H30" s="7"/>
    </row>
    <row r="31" s="1" customFormat="1" ht="22.5" customHeight="1" spans="1:8">
      <c r="A31" s="17"/>
      <c r="B31" s="7" t="s">
        <v>59</v>
      </c>
      <c r="C31" s="7"/>
      <c r="D31" s="7"/>
      <c r="E31" s="7"/>
      <c r="F31" s="24"/>
      <c r="G31" s="24"/>
      <c r="H31" s="7"/>
    </row>
    <row r="32" s="1" customFormat="1" ht="22.5" customHeight="1"/>
    <row r="33" s="1" customFormat="1" ht="22.5" customHeight="1" spans="1:5">
      <c r="A33" s="33" t="s">
        <v>60</v>
      </c>
      <c r="B33" s="7" t="s">
        <v>61</v>
      </c>
      <c r="C33" s="34">
        <v>1</v>
      </c>
      <c r="D33" s="7">
        <f>COUNTIF(F:F,B33)</f>
        <v>0</v>
      </c>
      <c r="E33" s="7">
        <f t="shared" ref="E33:E41" si="0">C33-D33</f>
        <v>1</v>
      </c>
    </row>
    <row r="34" s="1" customFormat="1" ht="22.5" customHeight="1" spans="1:5">
      <c r="A34" s="33" t="s">
        <v>60</v>
      </c>
      <c r="B34" s="7" t="s">
        <v>27</v>
      </c>
      <c r="C34" s="34">
        <v>976</v>
      </c>
      <c r="D34" s="7">
        <f>COUNTIF(F:F,B34)</f>
        <v>2</v>
      </c>
      <c r="E34" s="7">
        <f t="shared" si="0"/>
        <v>974</v>
      </c>
    </row>
    <row r="35" s="1" customFormat="1" ht="22.5" customHeight="1" spans="1:5">
      <c r="A35" s="33" t="s">
        <v>60</v>
      </c>
      <c r="B35" s="7" t="s">
        <v>21</v>
      </c>
      <c r="C35" s="35">
        <v>407</v>
      </c>
      <c r="D35" s="7">
        <f>COUNTIF(F:F,B35)</f>
        <v>0</v>
      </c>
      <c r="E35" s="7">
        <f t="shared" si="0"/>
        <v>407</v>
      </c>
    </row>
    <row r="36" s="1" customFormat="1" ht="22.5" customHeight="1" spans="1:5">
      <c r="A36" s="33" t="s">
        <v>60</v>
      </c>
      <c r="B36" s="17" t="s">
        <v>62</v>
      </c>
      <c r="C36" s="35">
        <v>83</v>
      </c>
      <c r="D36" s="7">
        <f>COUNTIF(F:F,"再就业")+COUNTIF(F:F,"小贷")</f>
        <v>0</v>
      </c>
      <c r="E36" s="7">
        <f t="shared" si="0"/>
        <v>83</v>
      </c>
    </row>
    <row r="37" s="1" customFormat="1" ht="22.5" customHeight="1" spans="1:5">
      <c r="A37" s="33" t="s">
        <v>60</v>
      </c>
      <c r="B37" s="17" t="s">
        <v>63</v>
      </c>
      <c r="C37" s="35">
        <v>1</v>
      </c>
      <c r="D37" s="7">
        <f>COUNTIF(F:F,B37)</f>
        <v>0</v>
      </c>
      <c r="E37" s="7">
        <f t="shared" si="0"/>
        <v>1</v>
      </c>
    </row>
    <row r="38" s="1" customFormat="1" ht="22.5" customHeight="1" spans="1:5">
      <c r="A38" s="33" t="s">
        <v>60</v>
      </c>
      <c r="B38" s="7" t="s">
        <v>64</v>
      </c>
      <c r="C38" s="35">
        <v>616</v>
      </c>
      <c r="D38" s="7">
        <f>COUNTIF(F:F,B38)</f>
        <v>0</v>
      </c>
      <c r="E38" s="7">
        <f t="shared" si="0"/>
        <v>616</v>
      </c>
    </row>
    <row r="39" s="1" customFormat="1" ht="22.5" customHeight="1" spans="1:5">
      <c r="A39" s="33" t="s">
        <v>60</v>
      </c>
      <c r="B39" s="7" t="s">
        <v>13</v>
      </c>
      <c r="C39" s="35">
        <v>921</v>
      </c>
      <c r="D39" s="7">
        <f>COUNTIF(F:F,B39)</f>
        <v>2</v>
      </c>
      <c r="E39" s="7">
        <f t="shared" si="0"/>
        <v>919</v>
      </c>
    </row>
    <row r="40" s="1" customFormat="1" ht="22.5" customHeight="1" spans="1:5">
      <c r="A40" s="33" t="s">
        <v>60</v>
      </c>
      <c r="B40" s="7" t="s">
        <v>31</v>
      </c>
      <c r="C40" s="35">
        <v>4511</v>
      </c>
      <c r="D40" s="7">
        <f>COUNTIF(F:F,B40)</f>
        <v>4</v>
      </c>
      <c r="E40" s="7">
        <f t="shared" si="0"/>
        <v>4507</v>
      </c>
    </row>
    <row r="41" s="1" customFormat="1" ht="22.5" customHeight="1" spans="1:5">
      <c r="A41" s="33" t="s">
        <v>60</v>
      </c>
      <c r="B41" s="7" t="s">
        <v>65</v>
      </c>
      <c r="C41" s="36">
        <v>42</v>
      </c>
      <c r="D41" s="7">
        <f>COUNTIF(F:F,B41)</f>
        <v>0</v>
      </c>
      <c r="E41" s="7">
        <f t="shared" si="0"/>
        <v>42</v>
      </c>
    </row>
    <row r="42" s="1" customFormat="1" ht="22.5" customHeight="1" spans="1:5">
      <c r="A42" s="37"/>
      <c r="B42" s="7"/>
      <c r="C42" s="7">
        <f>SUM(C33:C41)</f>
        <v>7558</v>
      </c>
      <c r="D42" s="7">
        <f>SUM(D33:D41)</f>
        <v>8</v>
      </c>
      <c r="E42" s="7">
        <f>SUM(E33:E41)</f>
        <v>7550</v>
      </c>
    </row>
    <row r="43" s="1" customFormat="1" ht="22.5" customHeight="1"/>
  </sheetData>
  <sortState ref="B5:F12">
    <sortCondition ref="B5:B12"/>
  </sortState>
  <mergeCells count="15">
    <mergeCell ref="A1:G1"/>
    <mergeCell ref="A2:G2"/>
    <mergeCell ref="A3:G3"/>
    <mergeCell ref="B24:E24"/>
    <mergeCell ref="B25:E25"/>
    <mergeCell ref="B26:E26"/>
    <mergeCell ref="B27:E27"/>
    <mergeCell ref="B28:E28"/>
    <mergeCell ref="B29:E29"/>
    <mergeCell ref="B30:E30"/>
    <mergeCell ref="B31:E31"/>
    <mergeCell ref="A24:A25"/>
    <mergeCell ref="A26:A27"/>
    <mergeCell ref="A28:A29"/>
    <mergeCell ref="A30:A31"/>
  </mergeCells>
  <pageMargins left="0.74999998873613" right="0.74999998873613" top="0.999999984981507" bottom="0.999999984981507" header="0.509722214045487" footer="0.509722214045487"/>
  <pageSetup paperSize="9" fitToHeight="0" orientation="portrait"/>
  <headerFooter/>
  <rowBreaks count="1" manualBreakCount="1">
    <brk id="3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H43"/>
  <sheetViews>
    <sheetView view="pageBreakPreview" zoomScaleNormal="100" workbookViewId="0">
      <selection activeCell="D9" sqref="D9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1">
      <c r="A1" s="2" t="s">
        <v>0</v>
      </c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437</v>
      </c>
    </row>
    <row r="5" s="1" customFormat="1" ht="27.75" customHeight="1" spans="1:8">
      <c r="A5" s="11">
        <v>1</v>
      </c>
      <c r="B5" s="17">
        <v>1283</v>
      </c>
      <c r="C5" s="17" t="s">
        <v>559</v>
      </c>
      <c r="D5" s="17" t="s">
        <v>560</v>
      </c>
      <c r="E5" s="17" t="s">
        <v>560</v>
      </c>
      <c r="F5" s="13" t="s">
        <v>13</v>
      </c>
      <c r="G5" s="14">
        <v>1</v>
      </c>
      <c r="H5" s="11"/>
    </row>
    <row r="6" s="1" customFormat="1" ht="22.5" customHeight="1" spans="1:8">
      <c r="A6" s="11">
        <v>2</v>
      </c>
      <c r="B6" s="12">
        <v>4657</v>
      </c>
      <c r="C6" s="141" t="s">
        <v>561</v>
      </c>
      <c r="D6" s="12" t="s">
        <v>562</v>
      </c>
      <c r="E6" s="12" t="s">
        <v>563</v>
      </c>
      <c r="F6" s="13" t="s">
        <v>27</v>
      </c>
      <c r="G6" s="14">
        <v>1</v>
      </c>
      <c r="H6" s="7"/>
    </row>
    <row r="7" s="1" customFormat="1" ht="22.5" customHeight="1" spans="1:8">
      <c r="A7" s="11">
        <v>3</v>
      </c>
      <c r="B7" s="12">
        <v>11009</v>
      </c>
      <c r="C7" s="141" t="s">
        <v>564</v>
      </c>
      <c r="D7" s="12" t="s">
        <v>565</v>
      </c>
      <c r="E7" s="12" t="s">
        <v>566</v>
      </c>
      <c r="F7" s="13" t="s">
        <v>31</v>
      </c>
      <c r="G7" s="14">
        <v>1</v>
      </c>
      <c r="H7" s="7"/>
    </row>
    <row r="8" s="1" customFormat="1" ht="22.5" customHeight="1" spans="1:8">
      <c r="A8" s="11">
        <v>4</v>
      </c>
      <c r="B8" s="17">
        <v>14951</v>
      </c>
      <c r="C8" s="12" t="s">
        <v>567</v>
      </c>
      <c r="D8" s="17" t="s">
        <v>568</v>
      </c>
      <c r="E8" s="17" t="s">
        <v>569</v>
      </c>
      <c r="F8" s="13" t="s">
        <v>31</v>
      </c>
      <c r="G8" s="14">
        <v>1</v>
      </c>
      <c r="H8" s="7"/>
    </row>
    <row r="9" s="1" customFormat="1" ht="18.75" spans="1:8">
      <c r="A9" s="11">
        <v>5</v>
      </c>
      <c r="B9" s="17"/>
      <c r="C9" s="17"/>
      <c r="D9" s="17"/>
      <c r="E9" s="17"/>
      <c r="F9" s="13"/>
      <c r="G9" s="14">
        <v>1</v>
      </c>
      <c r="H9" s="7"/>
    </row>
    <row r="10" s="1" customFormat="1" ht="22.5" customHeight="1" spans="1:8">
      <c r="A10" s="11">
        <v>6</v>
      </c>
      <c r="B10" s="17"/>
      <c r="C10" s="12"/>
      <c r="D10" s="17"/>
      <c r="E10" s="17"/>
      <c r="F10" s="13"/>
      <c r="G10" s="14">
        <v>1</v>
      </c>
      <c r="H10" s="7"/>
    </row>
    <row r="11" s="1" customFormat="1" ht="22.5" customHeight="1" spans="1:8">
      <c r="A11" s="11">
        <v>7</v>
      </c>
      <c r="B11" s="17"/>
      <c r="C11" s="17"/>
      <c r="D11" s="17"/>
      <c r="E11" s="17"/>
      <c r="F11" s="13"/>
      <c r="G11" s="14">
        <v>1</v>
      </c>
      <c r="H11" s="7"/>
    </row>
    <row r="12" s="1" customFormat="1" ht="22.5" customHeight="1" spans="1:8">
      <c r="A12" s="11">
        <v>8</v>
      </c>
      <c r="B12" s="17"/>
      <c r="C12" s="17"/>
      <c r="D12" s="17"/>
      <c r="E12" s="17"/>
      <c r="F12" s="13"/>
      <c r="G12" s="14">
        <v>1</v>
      </c>
      <c r="H12" s="7"/>
    </row>
    <row r="13" s="1" customFormat="1" ht="22.5" customHeight="1" spans="1:8">
      <c r="A13" s="11">
        <v>9</v>
      </c>
      <c r="B13" s="17"/>
      <c r="C13" s="17"/>
      <c r="D13" s="17"/>
      <c r="E13" s="17"/>
      <c r="F13" s="13"/>
      <c r="G13" s="14">
        <v>1</v>
      </c>
      <c r="H13" s="7"/>
    </row>
    <row r="14" s="1" customFormat="1" ht="22.5" customHeight="1" spans="1:8">
      <c r="A14" s="11">
        <v>10</v>
      </c>
      <c r="B14" s="17"/>
      <c r="C14" s="17"/>
      <c r="D14" s="17"/>
      <c r="E14" s="17"/>
      <c r="F14" s="13"/>
      <c r="G14" s="14">
        <v>1</v>
      </c>
      <c r="H14" s="7"/>
    </row>
    <row r="15" s="1" customFormat="1" ht="22.5" customHeight="1" spans="1:8">
      <c r="A15" s="11">
        <v>11</v>
      </c>
      <c r="B15" s="12"/>
      <c r="C15" s="12"/>
      <c r="D15" s="12"/>
      <c r="E15" s="12"/>
      <c r="F15" s="13"/>
      <c r="G15" s="14">
        <v>1</v>
      </c>
      <c r="H15" s="7"/>
    </row>
    <row r="16" s="1" customFormat="1" ht="22.5" customHeight="1" spans="1:8">
      <c r="A16" s="11">
        <v>12</v>
      </c>
      <c r="B16" s="12"/>
      <c r="C16" s="12"/>
      <c r="D16" s="12"/>
      <c r="E16" s="12"/>
      <c r="F16" s="13"/>
      <c r="G16" s="14">
        <v>1</v>
      </c>
      <c r="H16" s="7"/>
    </row>
    <row r="17" s="1" customFormat="1" ht="22.5" customHeight="1" spans="1:8">
      <c r="A17" s="11">
        <v>13</v>
      </c>
      <c r="B17" s="12"/>
      <c r="C17" s="12"/>
      <c r="D17" s="12"/>
      <c r="E17" s="12"/>
      <c r="F17" s="13"/>
      <c r="G17" s="14">
        <v>1</v>
      </c>
      <c r="H17" s="7"/>
    </row>
    <row r="18" s="1" customFormat="1" ht="22.5" customHeight="1" spans="1:8">
      <c r="A18" s="11">
        <v>14</v>
      </c>
      <c r="B18" s="12"/>
      <c r="C18" s="12"/>
      <c r="D18" s="12"/>
      <c r="E18" s="12"/>
      <c r="F18" s="17"/>
      <c r="G18" s="14">
        <v>1</v>
      </c>
      <c r="H18" s="7"/>
    </row>
    <row r="19" s="1" customFormat="1" ht="22.5" customHeight="1" spans="1:8">
      <c r="A19" s="11">
        <v>15</v>
      </c>
      <c r="B19" s="101"/>
      <c r="C19" s="101"/>
      <c r="D19" s="102"/>
      <c r="E19" s="102"/>
      <c r="F19" s="17"/>
      <c r="G19" s="14">
        <v>1</v>
      </c>
      <c r="H19" s="7"/>
    </row>
    <row r="20" s="1" customFormat="1" ht="22.5" customHeight="1" spans="1:7">
      <c r="A20" s="103"/>
      <c r="B20" s="104"/>
      <c r="C20" s="104"/>
      <c r="D20" s="104"/>
      <c r="E20" s="104"/>
      <c r="F20" s="104"/>
      <c r="G20" s="105"/>
    </row>
    <row r="21" s="1" customFormat="1" ht="22.5" customHeight="1" spans="1:7">
      <c r="A21" s="103"/>
      <c r="B21" s="104"/>
      <c r="C21" s="104"/>
      <c r="D21" s="104"/>
      <c r="E21" s="104"/>
      <c r="F21" s="104"/>
      <c r="G21" s="105"/>
    </row>
    <row r="22" s="1" customFormat="1" ht="22.5" customHeight="1" spans="1:7">
      <c r="A22" s="19" t="s">
        <v>47</v>
      </c>
      <c r="B22" s="20"/>
      <c r="C22" s="20"/>
      <c r="D22" s="20"/>
      <c r="E22" s="20"/>
      <c r="F22" s="20"/>
      <c r="G22" s="20"/>
    </row>
    <row r="23" s="1" customFormat="1" ht="22.5" customHeight="1" spans="1:8">
      <c r="A23" s="21" t="s">
        <v>48</v>
      </c>
      <c r="B23" s="22"/>
      <c r="C23" s="22"/>
      <c r="D23" s="22"/>
      <c r="E23" s="23"/>
      <c r="F23" s="24"/>
      <c r="G23" s="24"/>
      <c r="H23" s="7"/>
    </row>
    <row r="24" s="1" customFormat="1" ht="22.5" customHeight="1" spans="1:8">
      <c r="A24" s="7" t="s">
        <v>49</v>
      </c>
      <c r="B24" s="7" t="s">
        <v>50</v>
      </c>
      <c r="C24" s="7"/>
      <c r="D24" s="7"/>
      <c r="E24" s="7"/>
      <c r="F24" s="24"/>
      <c r="G24" s="24"/>
      <c r="H24" s="7"/>
    </row>
    <row r="25" s="1" customFormat="1" ht="22.5" customHeight="1" spans="1:8">
      <c r="A25" s="7"/>
      <c r="B25" s="7" t="s">
        <v>51</v>
      </c>
      <c r="C25" s="7"/>
      <c r="D25" s="7"/>
      <c r="E25" s="7"/>
      <c r="F25" s="24"/>
      <c r="G25" s="24"/>
      <c r="H25" s="7"/>
    </row>
    <row r="26" s="1" customFormat="1" ht="22.5" customHeight="1" spans="1:8">
      <c r="A26" s="25" t="s">
        <v>52</v>
      </c>
      <c r="B26" s="26" t="s">
        <v>53</v>
      </c>
      <c r="C26" s="27"/>
      <c r="D26" s="27"/>
      <c r="E26" s="28"/>
      <c r="F26" s="24"/>
      <c r="G26" s="24"/>
      <c r="H26" s="7"/>
    </row>
    <row r="27" s="1" customFormat="1" ht="22.5" customHeight="1" spans="1:8">
      <c r="A27" s="29"/>
      <c r="B27" s="30" t="s">
        <v>54</v>
      </c>
      <c r="C27" s="31"/>
      <c r="D27" s="31"/>
      <c r="E27" s="32"/>
      <c r="F27" s="24"/>
      <c r="G27" s="24"/>
      <c r="H27" s="7"/>
    </row>
    <row r="28" s="1" customFormat="1" ht="22.5" customHeight="1" spans="1:8">
      <c r="A28" s="17" t="s">
        <v>55</v>
      </c>
      <c r="B28" s="7" t="s">
        <v>56</v>
      </c>
      <c r="C28" s="7"/>
      <c r="D28" s="7"/>
      <c r="E28" s="7"/>
      <c r="F28" s="24"/>
      <c r="G28" s="24"/>
      <c r="H28" s="7"/>
    </row>
    <row r="29" s="1" customFormat="1" ht="22.5" customHeight="1" spans="1:8">
      <c r="A29" s="17"/>
      <c r="B29" s="7" t="s">
        <v>56</v>
      </c>
      <c r="C29" s="7"/>
      <c r="D29" s="7"/>
      <c r="E29" s="7"/>
      <c r="F29" s="24"/>
      <c r="G29" s="24"/>
      <c r="H29" s="7"/>
    </row>
    <row r="30" s="1" customFormat="1" ht="22.5" customHeight="1" spans="1:8">
      <c r="A30" s="17" t="s">
        <v>57</v>
      </c>
      <c r="B30" s="7" t="s">
        <v>58</v>
      </c>
      <c r="C30" s="7"/>
      <c r="D30" s="7"/>
      <c r="E30" s="7"/>
      <c r="F30" s="24"/>
      <c r="G30" s="24"/>
      <c r="H30" s="7"/>
    </row>
    <row r="31" s="1" customFormat="1" ht="22.5" customHeight="1" spans="1:8">
      <c r="A31" s="17"/>
      <c r="B31" s="7" t="s">
        <v>59</v>
      </c>
      <c r="C31" s="7"/>
      <c r="D31" s="7"/>
      <c r="E31" s="7"/>
      <c r="F31" s="24"/>
      <c r="G31" s="24"/>
      <c r="H31" s="7"/>
    </row>
    <row r="32" s="1" customFormat="1" ht="22.5" customHeight="1"/>
    <row r="33" s="1" customFormat="1" ht="22.5" customHeight="1" spans="1:5">
      <c r="A33" s="33" t="s">
        <v>60</v>
      </c>
      <c r="B33" s="7" t="s">
        <v>61</v>
      </c>
      <c r="C33" s="34">
        <v>1</v>
      </c>
      <c r="D33" s="7">
        <f>COUNTIF(F:F,B33)</f>
        <v>0</v>
      </c>
      <c r="E33" s="7">
        <f t="shared" ref="E33:E41" si="0">C33-D33</f>
        <v>1</v>
      </c>
    </row>
    <row r="34" s="1" customFormat="1" ht="22.5" customHeight="1" spans="1:5">
      <c r="A34" s="33" t="s">
        <v>60</v>
      </c>
      <c r="B34" s="7" t="s">
        <v>27</v>
      </c>
      <c r="C34" s="34">
        <v>977</v>
      </c>
      <c r="D34" s="7">
        <f>COUNTIF(F:F,B34)</f>
        <v>1</v>
      </c>
      <c r="E34" s="7">
        <f t="shared" si="0"/>
        <v>976</v>
      </c>
    </row>
    <row r="35" s="1" customFormat="1" ht="22.5" customHeight="1" spans="1:5">
      <c r="A35" s="33" t="s">
        <v>60</v>
      </c>
      <c r="B35" s="7" t="s">
        <v>21</v>
      </c>
      <c r="C35" s="35">
        <v>407</v>
      </c>
      <c r="D35" s="7">
        <f>COUNTIF(F:F,B35)</f>
        <v>0</v>
      </c>
      <c r="E35" s="7">
        <f t="shared" si="0"/>
        <v>407</v>
      </c>
    </row>
    <row r="36" s="1" customFormat="1" ht="22.5" customHeight="1" spans="1:5">
      <c r="A36" s="33" t="s">
        <v>60</v>
      </c>
      <c r="B36" s="17" t="s">
        <v>62</v>
      </c>
      <c r="C36" s="35">
        <v>83</v>
      </c>
      <c r="D36" s="7">
        <f>COUNTIF(F:F,"再就业")+COUNTIF(F:F,"小贷")</f>
        <v>0</v>
      </c>
      <c r="E36" s="7">
        <f t="shared" si="0"/>
        <v>83</v>
      </c>
    </row>
    <row r="37" s="1" customFormat="1" ht="22.5" customHeight="1" spans="1:5">
      <c r="A37" s="33" t="s">
        <v>60</v>
      </c>
      <c r="B37" s="17" t="s">
        <v>63</v>
      </c>
      <c r="C37" s="35">
        <v>1</v>
      </c>
      <c r="D37" s="7">
        <f>COUNTIF(F:F,B37)</f>
        <v>0</v>
      </c>
      <c r="E37" s="7">
        <f t="shared" si="0"/>
        <v>1</v>
      </c>
    </row>
    <row r="38" s="1" customFormat="1" ht="22.5" customHeight="1" spans="1:5">
      <c r="A38" s="33" t="s">
        <v>60</v>
      </c>
      <c r="B38" s="7" t="s">
        <v>64</v>
      </c>
      <c r="C38" s="35">
        <v>616</v>
      </c>
      <c r="D38" s="7">
        <f>COUNTIF(F:F,B38)</f>
        <v>0</v>
      </c>
      <c r="E38" s="7">
        <f t="shared" si="0"/>
        <v>616</v>
      </c>
    </row>
    <row r="39" s="1" customFormat="1" ht="22.5" customHeight="1" spans="1:5">
      <c r="A39" s="33" t="s">
        <v>60</v>
      </c>
      <c r="B39" s="7" t="s">
        <v>13</v>
      </c>
      <c r="C39" s="35">
        <v>922</v>
      </c>
      <c r="D39" s="7">
        <f>COUNTIF(F:F,B39)</f>
        <v>1</v>
      </c>
      <c r="E39" s="7">
        <f t="shared" si="0"/>
        <v>921</v>
      </c>
    </row>
    <row r="40" s="1" customFormat="1" ht="22.5" customHeight="1" spans="1:5">
      <c r="A40" s="33" t="s">
        <v>60</v>
      </c>
      <c r="B40" s="7" t="s">
        <v>31</v>
      </c>
      <c r="C40" s="35">
        <v>4513</v>
      </c>
      <c r="D40" s="7">
        <f>COUNTIF(F:F,B40)</f>
        <v>2</v>
      </c>
      <c r="E40" s="7">
        <f t="shared" si="0"/>
        <v>4511</v>
      </c>
    </row>
    <row r="41" s="1" customFormat="1" ht="22.5" customHeight="1" spans="1:5">
      <c r="A41" s="33" t="s">
        <v>60</v>
      </c>
      <c r="B41" s="7" t="s">
        <v>65</v>
      </c>
      <c r="C41" s="36">
        <v>42</v>
      </c>
      <c r="D41" s="7">
        <f>COUNTIF(F:F,B41)</f>
        <v>0</v>
      </c>
      <c r="E41" s="7">
        <f t="shared" si="0"/>
        <v>42</v>
      </c>
    </row>
    <row r="42" s="1" customFormat="1" ht="22.5" customHeight="1" spans="1:5">
      <c r="A42" s="37"/>
      <c r="B42" s="7"/>
      <c r="C42" s="7">
        <f>SUM(C33:C41)</f>
        <v>7562</v>
      </c>
      <c r="D42" s="7">
        <f>SUM(D33:D41)</f>
        <v>4</v>
      </c>
      <c r="E42" s="7">
        <f>SUM(E33:E41)</f>
        <v>7558</v>
      </c>
    </row>
    <row r="43" s="1" customFormat="1" ht="22.5" customHeight="1"/>
  </sheetData>
  <mergeCells count="15">
    <mergeCell ref="A1:G1"/>
    <mergeCell ref="A2:G2"/>
    <mergeCell ref="A3:G3"/>
    <mergeCell ref="B24:E24"/>
    <mergeCell ref="B25:E25"/>
    <mergeCell ref="B26:E26"/>
    <mergeCell ref="B27:E27"/>
    <mergeCell ref="B28:E28"/>
    <mergeCell ref="B29:E29"/>
    <mergeCell ref="B30:E30"/>
    <mergeCell ref="B31:E31"/>
    <mergeCell ref="A24:A25"/>
    <mergeCell ref="A26:A27"/>
    <mergeCell ref="A28:A29"/>
    <mergeCell ref="A30:A31"/>
  </mergeCells>
  <pageMargins left="0.74999998873613" right="0.74999998873613" top="0.999999984981507" bottom="0.999999984981507" header="0.509722214045487" footer="0.509722214045487"/>
  <pageSetup paperSize="9" fitToHeight="0" orientation="portrait"/>
  <headerFooter/>
  <rowBreaks count="1" manualBreakCount="1">
    <brk id="3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pageSetUpPr fitToPage="1"/>
  </sheetPr>
  <dimension ref="A1:H43"/>
  <sheetViews>
    <sheetView view="pageBreakPreview" zoomScaleNormal="100" workbookViewId="0">
      <selection activeCell="C9" sqref="C9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1">
      <c r="A1" s="2" t="s">
        <v>0</v>
      </c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437</v>
      </c>
    </row>
    <row r="5" s="1" customFormat="1" ht="27.75" customHeight="1" spans="1:8">
      <c r="A5" s="11">
        <v>1</v>
      </c>
      <c r="B5" s="17">
        <v>1842</v>
      </c>
      <c r="C5" s="17" t="s">
        <v>570</v>
      </c>
      <c r="D5" s="17" t="s">
        <v>571</v>
      </c>
      <c r="E5" s="17" t="s">
        <v>571</v>
      </c>
      <c r="F5" s="13" t="s">
        <v>13</v>
      </c>
      <c r="G5" s="14">
        <v>1</v>
      </c>
      <c r="H5" s="11"/>
    </row>
    <row r="6" s="1" customFormat="1" ht="22.5" customHeight="1" spans="1:8">
      <c r="A6" s="11">
        <v>2</v>
      </c>
      <c r="B6" s="12">
        <v>4495</v>
      </c>
      <c r="C6" s="12" t="s">
        <v>572</v>
      </c>
      <c r="D6" s="12" t="s">
        <v>573</v>
      </c>
      <c r="E6" s="12" t="s">
        <v>574</v>
      </c>
      <c r="F6" s="13" t="s">
        <v>64</v>
      </c>
      <c r="G6" s="14">
        <v>1</v>
      </c>
      <c r="H6" s="7"/>
    </row>
    <row r="7" s="1" customFormat="1" ht="22.5" customHeight="1" spans="1:8">
      <c r="A7" s="11">
        <v>3</v>
      </c>
      <c r="B7" s="12">
        <v>5115</v>
      </c>
      <c r="C7" s="12" t="s">
        <v>575</v>
      </c>
      <c r="D7" s="12" t="s">
        <v>576</v>
      </c>
      <c r="E7" s="12" t="s">
        <v>577</v>
      </c>
      <c r="F7" s="13" t="s">
        <v>27</v>
      </c>
      <c r="G7" s="14">
        <v>1</v>
      </c>
      <c r="H7" s="7"/>
    </row>
    <row r="8" s="1" customFormat="1" ht="22.5" customHeight="1" spans="1:8">
      <c r="A8" s="11">
        <v>4</v>
      </c>
      <c r="B8" s="17">
        <v>11439</v>
      </c>
      <c r="C8" s="12" t="s">
        <v>578</v>
      </c>
      <c r="D8" s="17" t="s">
        <v>579</v>
      </c>
      <c r="E8" s="17" t="s">
        <v>579</v>
      </c>
      <c r="F8" s="13" t="s">
        <v>31</v>
      </c>
      <c r="G8" s="14">
        <v>1</v>
      </c>
      <c r="H8" s="7"/>
    </row>
    <row r="9" s="1" customFormat="1" ht="18.75" spans="1:8">
      <c r="A9" s="11">
        <v>5</v>
      </c>
      <c r="B9" s="17">
        <v>13925</v>
      </c>
      <c r="C9" s="17" t="s">
        <v>580</v>
      </c>
      <c r="D9" s="17" t="s">
        <v>581</v>
      </c>
      <c r="E9" s="17" t="s">
        <v>582</v>
      </c>
      <c r="F9" s="13" t="s">
        <v>31</v>
      </c>
      <c r="G9" s="14">
        <v>1</v>
      </c>
      <c r="H9" s="7"/>
    </row>
    <row r="10" s="1" customFormat="1" ht="22.5" customHeight="1" spans="1:8">
      <c r="A10" s="11">
        <v>6</v>
      </c>
      <c r="B10" s="17">
        <v>13933</v>
      </c>
      <c r="C10" s="12" t="s">
        <v>583</v>
      </c>
      <c r="D10" s="17" t="s">
        <v>584</v>
      </c>
      <c r="E10" s="17" t="s">
        <v>585</v>
      </c>
      <c r="F10" s="13" t="s">
        <v>31</v>
      </c>
      <c r="G10" s="14">
        <v>1</v>
      </c>
      <c r="H10" s="7"/>
    </row>
    <row r="11" s="1" customFormat="1" ht="22.5" customHeight="1" spans="1:8">
      <c r="A11" s="11">
        <v>7</v>
      </c>
      <c r="B11" s="17">
        <v>15066</v>
      </c>
      <c r="C11" s="17" t="s">
        <v>586</v>
      </c>
      <c r="D11" s="17" t="s">
        <v>587</v>
      </c>
      <c r="E11" s="17" t="s">
        <v>588</v>
      </c>
      <c r="F11" s="13" t="s">
        <v>31</v>
      </c>
      <c r="G11" s="14">
        <v>1</v>
      </c>
      <c r="H11" s="7"/>
    </row>
    <row r="12" s="1" customFormat="1" ht="22.5" customHeight="1" spans="1:8">
      <c r="A12" s="11">
        <v>8</v>
      </c>
      <c r="B12" s="17"/>
      <c r="C12" s="17"/>
      <c r="D12" s="17"/>
      <c r="E12" s="17"/>
      <c r="F12" s="13"/>
      <c r="G12" s="14">
        <v>1</v>
      </c>
      <c r="H12" s="7"/>
    </row>
    <row r="13" s="1" customFormat="1" ht="22.5" customHeight="1" spans="1:8">
      <c r="A13" s="11">
        <v>9</v>
      </c>
      <c r="B13" s="17"/>
      <c r="C13" s="17"/>
      <c r="D13" s="17"/>
      <c r="E13" s="17"/>
      <c r="F13" s="13"/>
      <c r="G13" s="14">
        <v>1</v>
      </c>
      <c r="H13" s="7"/>
    </row>
    <row r="14" s="1" customFormat="1" ht="22.5" customHeight="1" spans="1:8">
      <c r="A14" s="11">
        <v>10</v>
      </c>
      <c r="B14" s="17"/>
      <c r="C14" s="17"/>
      <c r="D14" s="17"/>
      <c r="E14" s="17"/>
      <c r="F14" s="13"/>
      <c r="G14" s="14">
        <v>1</v>
      </c>
      <c r="H14" s="7"/>
    </row>
    <row r="15" s="1" customFormat="1" ht="22.5" customHeight="1" spans="1:8">
      <c r="A15" s="11">
        <v>11</v>
      </c>
      <c r="B15" s="12"/>
      <c r="C15" s="12"/>
      <c r="D15" s="12"/>
      <c r="E15" s="12"/>
      <c r="F15" s="13"/>
      <c r="G15" s="14">
        <v>1</v>
      </c>
      <c r="H15" s="7"/>
    </row>
    <row r="16" s="1" customFormat="1" ht="22.5" customHeight="1" spans="1:8">
      <c r="A16" s="11">
        <v>12</v>
      </c>
      <c r="B16" s="12"/>
      <c r="C16" s="12"/>
      <c r="D16" s="12"/>
      <c r="E16" s="12"/>
      <c r="F16" s="13"/>
      <c r="G16" s="14">
        <v>1</v>
      </c>
      <c r="H16" s="7"/>
    </row>
    <row r="17" s="1" customFormat="1" ht="22.5" customHeight="1" spans="1:8">
      <c r="A17" s="11">
        <v>13</v>
      </c>
      <c r="B17" s="12"/>
      <c r="C17" s="12"/>
      <c r="D17" s="12"/>
      <c r="E17" s="12"/>
      <c r="F17" s="13"/>
      <c r="G17" s="14">
        <v>1</v>
      </c>
      <c r="H17" s="7"/>
    </row>
    <row r="18" s="1" customFormat="1" ht="22.5" customHeight="1" spans="1:8">
      <c r="A18" s="11">
        <v>14</v>
      </c>
      <c r="B18" s="12"/>
      <c r="C18" s="12"/>
      <c r="D18" s="12"/>
      <c r="E18" s="12"/>
      <c r="F18" s="17"/>
      <c r="G18" s="14">
        <v>1</v>
      </c>
      <c r="H18" s="7"/>
    </row>
    <row r="19" s="1" customFormat="1" ht="22.5" customHeight="1" spans="1:8">
      <c r="A19" s="11">
        <v>15</v>
      </c>
      <c r="B19" s="101"/>
      <c r="C19" s="101"/>
      <c r="D19" s="102"/>
      <c r="E19" s="102"/>
      <c r="F19" s="17"/>
      <c r="G19" s="14">
        <v>1</v>
      </c>
      <c r="H19" s="7"/>
    </row>
    <row r="20" s="1" customFormat="1" ht="22.5" customHeight="1" spans="1:7">
      <c r="A20" s="103"/>
      <c r="B20" s="104"/>
      <c r="C20" s="104"/>
      <c r="D20" s="104"/>
      <c r="E20" s="104"/>
      <c r="F20" s="104"/>
      <c r="G20" s="105"/>
    </row>
    <row r="21" s="1" customFormat="1" ht="22.5" customHeight="1" spans="1:7">
      <c r="A21" s="103"/>
      <c r="B21" s="104"/>
      <c r="C21" s="104"/>
      <c r="D21" s="104"/>
      <c r="E21" s="104"/>
      <c r="F21" s="104"/>
      <c r="G21" s="105"/>
    </row>
    <row r="22" s="1" customFormat="1" ht="22.5" customHeight="1" spans="1:7">
      <c r="A22" s="19" t="s">
        <v>47</v>
      </c>
      <c r="B22" s="20"/>
      <c r="C22" s="20"/>
      <c r="D22" s="20"/>
      <c r="E22" s="20"/>
      <c r="F22" s="20"/>
      <c r="G22" s="20"/>
    </row>
    <row r="23" s="1" customFormat="1" ht="22.5" customHeight="1" spans="1:8">
      <c r="A23" s="21" t="s">
        <v>48</v>
      </c>
      <c r="B23" s="22"/>
      <c r="C23" s="22"/>
      <c r="D23" s="22"/>
      <c r="E23" s="23"/>
      <c r="F23" s="24"/>
      <c r="G23" s="24"/>
      <c r="H23" s="7"/>
    </row>
    <row r="24" s="1" customFormat="1" ht="22.5" customHeight="1" spans="1:8">
      <c r="A24" s="7" t="s">
        <v>49</v>
      </c>
      <c r="B24" s="7" t="s">
        <v>50</v>
      </c>
      <c r="C24" s="7"/>
      <c r="D24" s="7"/>
      <c r="E24" s="7"/>
      <c r="F24" s="24"/>
      <c r="G24" s="24"/>
      <c r="H24" s="7"/>
    </row>
    <row r="25" s="1" customFormat="1" ht="22.5" customHeight="1" spans="1:8">
      <c r="A25" s="7"/>
      <c r="B25" s="7" t="s">
        <v>51</v>
      </c>
      <c r="C25" s="7"/>
      <c r="D25" s="7"/>
      <c r="E25" s="7"/>
      <c r="F25" s="24"/>
      <c r="G25" s="24"/>
      <c r="H25" s="7"/>
    </row>
    <row r="26" s="1" customFormat="1" ht="22.5" customHeight="1" spans="1:8">
      <c r="A26" s="25" t="s">
        <v>52</v>
      </c>
      <c r="B26" s="26" t="s">
        <v>53</v>
      </c>
      <c r="C26" s="27"/>
      <c r="D26" s="27"/>
      <c r="E26" s="28"/>
      <c r="F26" s="24"/>
      <c r="G26" s="24"/>
      <c r="H26" s="7"/>
    </row>
    <row r="27" s="1" customFormat="1" ht="22.5" customHeight="1" spans="1:8">
      <c r="A27" s="29"/>
      <c r="B27" s="30" t="s">
        <v>54</v>
      </c>
      <c r="C27" s="31"/>
      <c r="D27" s="31"/>
      <c r="E27" s="32"/>
      <c r="F27" s="24"/>
      <c r="G27" s="24"/>
      <c r="H27" s="7"/>
    </row>
    <row r="28" s="1" customFormat="1" ht="22.5" customHeight="1" spans="1:8">
      <c r="A28" s="17" t="s">
        <v>55</v>
      </c>
      <c r="B28" s="7" t="s">
        <v>56</v>
      </c>
      <c r="C28" s="7"/>
      <c r="D28" s="7"/>
      <c r="E28" s="7"/>
      <c r="F28" s="24"/>
      <c r="G28" s="24"/>
      <c r="H28" s="7"/>
    </row>
    <row r="29" s="1" customFormat="1" ht="22.5" customHeight="1" spans="1:8">
      <c r="A29" s="17"/>
      <c r="B29" s="7" t="s">
        <v>56</v>
      </c>
      <c r="C29" s="7"/>
      <c r="D29" s="7"/>
      <c r="E29" s="7"/>
      <c r="F29" s="24"/>
      <c r="G29" s="24"/>
      <c r="H29" s="7"/>
    </row>
    <row r="30" s="1" customFormat="1" ht="22.5" customHeight="1" spans="1:8">
      <c r="A30" s="17" t="s">
        <v>57</v>
      </c>
      <c r="B30" s="7" t="s">
        <v>58</v>
      </c>
      <c r="C30" s="7"/>
      <c r="D30" s="7"/>
      <c r="E30" s="7"/>
      <c r="F30" s="24"/>
      <c r="G30" s="24"/>
      <c r="H30" s="7"/>
    </row>
    <row r="31" s="1" customFormat="1" ht="22.5" customHeight="1" spans="1:8">
      <c r="A31" s="17"/>
      <c r="B31" s="7" t="s">
        <v>59</v>
      </c>
      <c r="C31" s="7"/>
      <c r="D31" s="7"/>
      <c r="E31" s="7"/>
      <c r="F31" s="24"/>
      <c r="G31" s="24"/>
      <c r="H31" s="7"/>
    </row>
    <row r="32" s="1" customFormat="1" ht="22.5" customHeight="1"/>
    <row r="33" s="1" customFormat="1" ht="22.5" customHeight="1" spans="1:5">
      <c r="A33" s="33" t="s">
        <v>60</v>
      </c>
      <c r="B33" s="7" t="s">
        <v>61</v>
      </c>
      <c r="C33" s="34">
        <v>1</v>
      </c>
      <c r="D33" s="7">
        <f>COUNTIF(F:F,B33)</f>
        <v>0</v>
      </c>
      <c r="E33" s="7">
        <f t="shared" ref="E33:E41" si="0">C33-D33</f>
        <v>1</v>
      </c>
    </row>
    <row r="34" s="1" customFormat="1" ht="22.5" customHeight="1" spans="1:5">
      <c r="A34" s="33" t="s">
        <v>60</v>
      </c>
      <c r="B34" s="7" t="s">
        <v>27</v>
      </c>
      <c r="C34" s="34">
        <v>976</v>
      </c>
      <c r="D34" s="7">
        <f>COUNTIF(F:F,B34)</f>
        <v>1</v>
      </c>
      <c r="E34" s="7">
        <f t="shared" si="0"/>
        <v>975</v>
      </c>
    </row>
    <row r="35" s="1" customFormat="1" ht="22.5" customHeight="1" spans="1:5">
      <c r="A35" s="33" t="s">
        <v>60</v>
      </c>
      <c r="B35" s="7" t="s">
        <v>21</v>
      </c>
      <c r="C35" s="35">
        <v>405</v>
      </c>
      <c r="D35" s="7">
        <f>COUNTIF(F:F,B35)</f>
        <v>0</v>
      </c>
      <c r="E35" s="7">
        <f t="shared" si="0"/>
        <v>405</v>
      </c>
    </row>
    <row r="36" s="1" customFormat="1" ht="22.5" customHeight="1" spans="1:5">
      <c r="A36" s="33" t="s">
        <v>60</v>
      </c>
      <c r="B36" s="17" t="s">
        <v>62</v>
      </c>
      <c r="C36" s="35">
        <v>83</v>
      </c>
      <c r="D36" s="7">
        <f>COUNTIF(F:F,"再就业")+COUNTIF(F:F,"小贷")</f>
        <v>0</v>
      </c>
      <c r="E36" s="7">
        <f t="shared" si="0"/>
        <v>83</v>
      </c>
    </row>
    <row r="37" s="1" customFormat="1" ht="22.5" customHeight="1" spans="1:5">
      <c r="A37" s="33" t="s">
        <v>60</v>
      </c>
      <c r="B37" s="17" t="s">
        <v>63</v>
      </c>
      <c r="C37" s="35">
        <v>1</v>
      </c>
      <c r="D37" s="7">
        <f>COUNTIF(F:F,B37)</f>
        <v>0</v>
      </c>
      <c r="E37" s="7">
        <f t="shared" si="0"/>
        <v>1</v>
      </c>
    </row>
    <row r="38" s="1" customFormat="1" ht="22.5" customHeight="1" spans="1:5">
      <c r="A38" s="33" t="s">
        <v>60</v>
      </c>
      <c r="B38" s="7" t="s">
        <v>64</v>
      </c>
      <c r="C38" s="35">
        <v>616</v>
      </c>
      <c r="D38" s="7">
        <f>COUNTIF(F:F,B38)</f>
        <v>1</v>
      </c>
      <c r="E38" s="7">
        <f t="shared" si="0"/>
        <v>615</v>
      </c>
    </row>
    <row r="39" s="1" customFormat="1" ht="22.5" customHeight="1" spans="1:5">
      <c r="A39" s="33" t="s">
        <v>60</v>
      </c>
      <c r="B39" s="7" t="s">
        <v>13</v>
      </c>
      <c r="C39" s="35">
        <v>820</v>
      </c>
      <c r="D39" s="7">
        <f>COUNTIF(F:F,B39)</f>
        <v>1</v>
      </c>
      <c r="E39" s="7">
        <f t="shared" si="0"/>
        <v>819</v>
      </c>
    </row>
    <row r="40" s="1" customFormat="1" ht="22.5" customHeight="1" spans="1:5">
      <c r="A40" s="33" t="s">
        <v>60</v>
      </c>
      <c r="B40" s="7" t="s">
        <v>31</v>
      </c>
      <c r="C40" s="35">
        <v>4510</v>
      </c>
      <c r="D40" s="7">
        <f>COUNTIF(F:F,B40)</f>
        <v>4</v>
      </c>
      <c r="E40" s="7">
        <f t="shared" si="0"/>
        <v>4506</v>
      </c>
    </row>
    <row r="41" s="1" customFormat="1" ht="22.5" customHeight="1" spans="1:5">
      <c r="A41" s="33" t="s">
        <v>60</v>
      </c>
      <c r="B41" s="7" t="s">
        <v>65</v>
      </c>
      <c r="C41" s="36">
        <v>41</v>
      </c>
      <c r="D41" s="7">
        <f>COUNTIF(F:F,B41)</f>
        <v>0</v>
      </c>
      <c r="E41" s="7">
        <f t="shared" si="0"/>
        <v>41</v>
      </c>
    </row>
    <row r="42" s="1" customFormat="1" ht="22.5" customHeight="1" spans="1:5">
      <c r="A42" s="37"/>
      <c r="B42" s="7"/>
      <c r="C42" s="7">
        <f>SUM(C33:C41)</f>
        <v>7453</v>
      </c>
      <c r="D42" s="7">
        <f>SUM(D33:D41)</f>
        <v>7</v>
      </c>
      <c r="E42" s="7">
        <f>SUM(E33:E41)</f>
        <v>7446</v>
      </c>
    </row>
    <row r="43" s="1" customFormat="1" ht="22.5" customHeight="1"/>
  </sheetData>
  <sortState ref="B5:F11">
    <sortCondition ref="B5:B11"/>
  </sortState>
  <mergeCells count="15">
    <mergeCell ref="A1:G1"/>
    <mergeCell ref="A2:G2"/>
    <mergeCell ref="A3:G3"/>
    <mergeCell ref="B24:E24"/>
    <mergeCell ref="B25:E25"/>
    <mergeCell ref="B26:E26"/>
    <mergeCell ref="B27:E27"/>
    <mergeCell ref="B28:E28"/>
    <mergeCell ref="B29:E29"/>
    <mergeCell ref="B30:E30"/>
    <mergeCell ref="B31:E31"/>
    <mergeCell ref="A24:A25"/>
    <mergeCell ref="A26:A27"/>
    <mergeCell ref="A28:A29"/>
    <mergeCell ref="A30:A31"/>
  </mergeCells>
  <pageMargins left="0.74999998873613" right="0.74999998873613" top="0.999999984981507" bottom="0.999999984981507" header="0.509722214045487" footer="0.509722214045487"/>
  <pageSetup paperSize="9" fitToHeight="0" orientation="portrait"/>
  <headerFooter/>
  <rowBreaks count="1" manualBreakCount="1">
    <brk id="3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H45"/>
  <sheetViews>
    <sheetView view="pageBreakPreview" zoomScaleNormal="100" workbookViewId="0">
      <selection activeCell="C10" sqref="C10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1">
      <c r="A1" s="2" t="s">
        <v>0</v>
      </c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437</v>
      </c>
    </row>
    <row r="5" s="1" customFormat="1" ht="27.75" customHeight="1" spans="1:8">
      <c r="A5" s="11">
        <v>1</v>
      </c>
      <c r="B5" s="12">
        <v>1968</v>
      </c>
      <c r="C5" s="12" t="s">
        <v>589</v>
      </c>
      <c r="D5" s="12" t="s">
        <v>590</v>
      </c>
      <c r="E5" s="12" t="s">
        <v>590</v>
      </c>
      <c r="F5" s="13" t="s">
        <v>13</v>
      </c>
      <c r="G5" s="14">
        <v>1</v>
      </c>
      <c r="H5" s="11"/>
    </row>
    <row r="6" s="1" customFormat="1" ht="22.5" customHeight="1" spans="1:8">
      <c r="A6" s="11">
        <v>2</v>
      </c>
      <c r="B6" s="12">
        <v>4217</v>
      </c>
      <c r="C6" s="141" t="s">
        <v>591</v>
      </c>
      <c r="D6" s="12" t="s">
        <v>592</v>
      </c>
      <c r="E6" s="12" t="s">
        <v>593</v>
      </c>
      <c r="F6" s="13" t="s">
        <v>21</v>
      </c>
      <c r="G6" s="14">
        <v>1</v>
      </c>
      <c r="H6" s="7"/>
    </row>
    <row r="7" s="1" customFormat="1" ht="22.5" customHeight="1" spans="1:8">
      <c r="A7" s="11">
        <v>3</v>
      </c>
      <c r="B7" s="12">
        <v>4397</v>
      </c>
      <c r="C7" s="141" t="s">
        <v>594</v>
      </c>
      <c r="D7" s="12" t="s">
        <v>595</v>
      </c>
      <c r="E7" s="12" t="s">
        <v>596</v>
      </c>
      <c r="F7" s="13" t="s">
        <v>21</v>
      </c>
      <c r="G7" s="14">
        <v>1</v>
      </c>
      <c r="H7" s="7"/>
    </row>
    <row r="8" s="1" customFormat="1" ht="22.5" customHeight="1" spans="1:8">
      <c r="A8" s="11">
        <v>4</v>
      </c>
      <c r="B8" s="17">
        <v>4564</v>
      </c>
      <c r="C8" s="141" t="s">
        <v>597</v>
      </c>
      <c r="D8" s="17" t="s">
        <v>598</v>
      </c>
      <c r="E8" s="17" t="s">
        <v>599</v>
      </c>
      <c r="F8" s="13" t="s">
        <v>21</v>
      </c>
      <c r="G8" s="14">
        <v>1</v>
      </c>
      <c r="H8" s="7"/>
    </row>
    <row r="9" s="1" customFormat="1" ht="18.75" spans="1:8">
      <c r="A9" s="11">
        <v>5</v>
      </c>
      <c r="B9" s="17">
        <v>5243</v>
      </c>
      <c r="C9" s="17" t="s">
        <v>600</v>
      </c>
      <c r="D9" s="17" t="s">
        <v>601</v>
      </c>
      <c r="E9" s="17" t="s">
        <v>602</v>
      </c>
      <c r="F9" s="17" t="s">
        <v>27</v>
      </c>
      <c r="G9" s="14">
        <v>1</v>
      </c>
      <c r="H9" s="7"/>
    </row>
    <row r="10" s="1" customFormat="1" ht="22.5" customHeight="1" spans="1:8">
      <c r="A10" s="11">
        <v>6</v>
      </c>
      <c r="B10" s="17">
        <v>4481</v>
      </c>
      <c r="C10" s="12" t="s">
        <v>603</v>
      </c>
      <c r="D10" s="17" t="s">
        <v>604</v>
      </c>
      <c r="E10" s="17" t="s">
        <v>605</v>
      </c>
      <c r="F10" s="13" t="s">
        <v>64</v>
      </c>
      <c r="G10" s="14">
        <v>1</v>
      </c>
      <c r="H10" s="7"/>
    </row>
    <row r="11" s="1" customFormat="1" ht="22.5" customHeight="1" spans="1:8">
      <c r="A11" s="11">
        <v>7</v>
      </c>
      <c r="B11" s="17">
        <v>9486</v>
      </c>
      <c r="C11" s="17" t="s">
        <v>606</v>
      </c>
      <c r="D11" s="17" t="s">
        <v>607</v>
      </c>
      <c r="E11" s="17" t="s">
        <v>608</v>
      </c>
      <c r="F11" s="13" t="s">
        <v>31</v>
      </c>
      <c r="G11" s="14">
        <v>1</v>
      </c>
      <c r="H11" s="7"/>
    </row>
    <row r="12" s="1" customFormat="1" ht="22.5" customHeight="1" spans="1:8">
      <c r="A12" s="11">
        <v>8</v>
      </c>
      <c r="B12" s="17">
        <v>9632</v>
      </c>
      <c r="C12" s="17" t="s">
        <v>609</v>
      </c>
      <c r="D12" s="17" t="s">
        <v>610</v>
      </c>
      <c r="E12" s="17" t="s">
        <v>610</v>
      </c>
      <c r="F12" s="13" t="s">
        <v>31</v>
      </c>
      <c r="G12" s="14">
        <v>1</v>
      </c>
      <c r="H12" s="7"/>
    </row>
    <row r="13" s="1" customFormat="1" ht="22.5" customHeight="1" spans="1:8">
      <c r="A13" s="11">
        <v>9</v>
      </c>
      <c r="B13" s="17">
        <v>10726</v>
      </c>
      <c r="C13" s="17" t="s">
        <v>611</v>
      </c>
      <c r="D13" s="17" t="s">
        <v>612</v>
      </c>
      <c r="E13" s="17" t="s">
        <v>613</v>
      </c>
      <c r="F13" s="13" t="s">
        <v>31</v>
      </c>
      <c r="G13" s="14">
        <v>1</v>
      </c>
      <c r="H13" s="7"/>
    </row>
    <row r="14" s="1" customFormat="1" ht="22.5" customHeight="1" spans="1:8">
      <c r="A14" s="11">
        <v>10</v>
      </c>
      <c r="B14" s="17">
        <v>11971</v>
      </c>
      <c r="C14" s="142" t="s">
        <v>614</v>
      </c>
      <c r="D14" s="17" t="s">
        <v>615</v>
      </c>
      <c r="E14" s="17" t="s">
        <v>615</v>
      </c>
      <c r="F14" s="13" t="s">
        <v>31</v>
      </c>
      <c r="G14" s="14">
        <v>1</v>
      </c>
      <c r="H14" s="7"/>
    </row>
    <row r="15" s="1" customFormat="1" ht="22.5" customHeight="1" spans="1:8">
      <c r="A15" s="11">
        <v>11</v>
      </c>
      <c r="B15" s="12">
        <v>14096</v>
      </c>
      <c r="C15" s="141" t="s">
        <v>616</v>
      </c>
      <c r="D15" s="12" t="s">
        <v>617</v>
      </c>
      <c r="E15" s="12" t="s">
        <v>618</v>
      </c>
      <c r="F15" s="13" t="s">
        <v>31</v>
      </c>
      <c r="G15" s="14">
        <v>1</v>
      </c>
      <c r="H15" s="7"/>
    </row>
    <row r="16" s="1" customFormat="1" ht="22.5" customHeight="1" spans="1:8">
      <c r="A16" s="11">
        <v>12</v>
      </c>
      <c r="B16" s="12">
        <v>12731</v>
      </c>
      <c r="C16" s="141" t="s">
        <v>619</v>
      </c>
      <c r="D16" s="12" t="s">
        <v>620</v>
      </c>
      <c r="E16" s="12" t="s">
        <v>621</v>
      </c>
      <c r="F16" s="13" t="s">
        <v>31</v>
      </c>
      <c r="G16" s="14">
        <v>1</v>
      </c>
      <c r="H16" s="7"/>
    </row>
    <row r="17" s="1" customFormat="1" ht="22.5" customHeight="1" spans="1:8">
      <c r="A17" s="11">
        <v>13</v>
      </c>
      <c r="B17" s="12">
        <v>13541</v>
      </c>
      <c r="C17" s="12" t="s">
        <v>622</v>
      </c>
      <c r="D17" s="12" t="s">
        <v>623</v>
      </c>
      <c r="E17" s="12" t="s">
        <v>624</v>
      </c>
      <c r="F17" s="13" t="s">
        <v>31</v>
      </c>
      <c r="G17" s="14">
        <v>1</v>
      </c>
      <c r="H17" s="7"/>
    </row>
    <row r="18" s="1" customFormat="1" ht="22.5" customHeight="1" spans="1:8">
      <c r="A18" s="11">
        <v>14</v>
      </c>
      <c r="B18" s="12">
        <v>14088</v>
      </c>
      <c r="C18" s="12" t="s">
        <v>625</v>
      </c>
      <c r="D18" s="12" t="s">
        <v>626</v>
      </c>
      <c r="E18" s="12" t="s">
        <v>627</v>
      </c>
      <c r="F18" s="17" t="s">
        <v>31</v>
      </c>
      <c r="G18" s="14">
        <v>1</v>
      </c>
      <c r="H18" s="7"/>
    </row>
    <row r="19" s="1" customFormat="1" ht="22.5" customHeight="1" spans="1:8">
      <c r="A19" s="11">
        <v>15</v>
      </c>
      <c r="B19" s="101">
        <v>14422</v>
      </c>
      <c r="C19" s="101" t="s">
        <v>628</v>
      </c>
      <c r="D19" s="102" t="s">
        <v>629</v>
      </c>
      <c r="E19" s="102" t="s">
        <v>630</v>
      </c>
      <c r="F19" s="17" t="s">
        <v>31</v>
      </c>
      <c r="G19" s="14">
        <v>1</v>
      </c>
      <c r="H19" s="7"/>
    </row>
    <row r="20" s="1" customFormat="1" ht="22.5" customHeight="1" spans="1:8">
      <c r="A20" s="11">
        <v>16</v>
      </c>
      <c r="B20" s="12">
        <v>14665</v>
      </c>
      <c r="C20" s="12" t="s">
        <v>631</v>
      </c>
      <c r="D20" s="12" t="s">
        <v>632</v>
      </c>
      <c r="E20" s="12" t="s">
        <v>633</v>
      </c>
      <c r="F20" s="17" t="s">
        <v>31</v>
      </c>
      <c r="G20" s="9">
        <v>1</v>
      </c>
      <c r="H20" s="7"/>
    </row>
    <row r="21" s="1" customFormat="1" ht="22.5" customHeight="1" spans="1:8">
      <c r="A21" s="11">
        <v>17</v>
      </c>
      <c r="B21" s="12"/>
      <c r="C21" s="12"/>
      <c r="D21" s="12"/>
      <c r="E21" s="12"/>
      <c r="F21" s="13"/>
      <c r="G21" s="14"/>
      <c r="H21" s="7"/>
    </row>
    <row r="22" s="1" customFormat="1" ht="22.5" customHeight="1" spans="1:7">
      <c r="A22" s="103"/>
      <c r="B22" s="104"/>
      <c r="C22" s="104"/>
      <c r="D22" s="104"/>
      <c r="E22" s="104"/>
      <c r="F22" s="104"/>
      <c r="G22" s="105"/>
    </row>
    <row r="23" s="1" customFormat="1" ht="22.5" customHeight="1" spans="1:7">
      <c r="A23" s="103"/>
      <c r="B23" s="104"/>
      <c r="C23" s="104"/>
      <c r="D23" s="104"/>
      <c r="E23" s="104"/>
      <c r="F23" s="104"/>
      <c r="G23" s="105"/>
    </row>
    <row r="24" s="1" customFormat="1" ht="22.5" customHeight="1" spans="1:7">
      <c r="A24" s="19" t="s">
        <v>47</v>
      </c>
      <c r="B24" s="20"/>
      <c r="C24" s="20"/>
      <c r="D24" s="20"/>
      <c r="E24" s="20"/>
      <c r="F24" s="20"/>
      <c r="G24" s="20"/>
    </row>
    <row r="25" s="1" customFormat="1" ht="22.5" customHeight="1" spans="1:8">
      <c r="A25" s="21" t="s">
        <v>48</v>
      </c>
      <c r="B25" s="22"/>
      <c r="C25" s="22"/>
      <c r="D25" s="22"/>
      <c r="E25" s="23"/>
      <c r="F25" s="24"/>
      <c r="G25" s="24"/>
      <c r="H25" s="7"/>
    </row>
    <row r="26" s="1" customFormat="1" ht="22.5" customHeight="1" spans="1:8">
      <c r="A26" s="7" t="s">
        <v>49</v>
      </c>
      <c r="B26" s="7" t="s">
        <v>50</v>
      </c>
      <c r="C26" s="7"/>
      <c r="D26" s="7"/>
      <c r="E26" s="7"/>
      <c r="F26" s="24"/>
      <c r="G26" s="24"/>
      <c r="H26" s="7"/>
    </row>
    <row r="27" s="1" customFormat="1" ht="22.5" customHeight="1" spans="1:8">
      <c r="A27" s="7"/>
      <c r="B27" s="7" t="s">
        <v>51</v>
      </c>
      <c r="C27" s="7"/>
      <c r="D27" s="7"/>
      <c r="E27" s="7"/>
      <c r="F27" s="24"/>
      <c r="G27" s="24"/>
      <c r="H27" s="7"/>
    </row>
    <row r="28" s="1" customFormat="1" ht="22.5" customHeight="1" spans="1:8">
      <c r="A28" s="25" t="s">
        <v>52</v>
      </c>
      <c r="B28" s="26" t="s">
        <v>53</v>
      </c>
      <c r="C28" s="27"/>
      <c r="D28" s="27"/>
      <c r="E28" s="28"/>
      <c r="F28" s="24"/>
      <c r="G28" s="24"/>
      <c r="H28" s="7"/>
    </row>
    <row r="29" s="1" customFormat="1" ht="22.5" customHeight="1" spans="1:8">
      <c r="A29" s="29"/>
      <c r="B29" s="30" t="s">
        <v>54</v>
      </c>
      <c r="C29" s="31"/>
      <c r="D29" s="31"/>
      <c r="E29" s="32"/>
      <c r="F29" s="24"/>
      <c r="G29" s="24"/>
      <c r="H29" s="7"/>
    </row>
    <row r="30" s="1" customFormat="1" ht="22.5" customHeight="1" spans="1:8">
      <c r="A30" s="17" t="s">
        <v>55</v>
      </c>
      <c r="B30" s="7" t="s">
        <v>56</v>
      </c>
      <c r="C30" s="7"/>
      <c r="D30" s="7"/>
      <c r="E30" s="7"/>
      <c r="F30" s="24"/>
      <c r="G30" s="24"/>
      <c r="H30" s="7"/>
    </row>
    <row r="31" s="1" customFormat="1" ht="22.5" customHeight="1" spans="1:8">
      <c r="A31" s="17"/>
      <c r="B31" s="7" t="s">
        <v>56</v>
      </c>
      <c r="C31" s="7"/>
      <c r="D31" s="7"/>
      <c r="E31" s="7"/>
      <c r="F31" s="24"/>
      <c r="G31" s="24"/>
      <c r="H31" s="7"/>
    </row>
    <row r="32" s="1" customFormat="1" ht="22.5" customHeight="1" spans="1:8">
      <c r="A32" s="17" t="s">
        <v>57</v>
      </c>
      <c r="B32" s="7" t="s">
        <v>58</v>
      </c>
      <c r="C32" s="7"/>
      <c r="D32" s="7"/>
      <c r="E32" s="7"/>
      <c r="F32" s="24"/>
      <c r="G32" s="24"/>
      <c r="H32" s="7"/>
    </row>
    <row r="33" s="1" customFormat="1" ht="22.5" customHeight="1" spans="1:8">
      <c r="A33" s="17"/>
      <c r="B33" s="7" t="s">
        <v>59</v>
      </c>
      <c r="C33" s="7"/>
      <c r="D33" s="7"/>
      <c r="E33" s="7"/>
      <c r="F33" s="24"/>
      <c r="G33" s="24"/>
      <c r="H33" s="7"/>
    </row>
    <row r="34" s="1" customFormat="1" ht="22.5" customHeight="1"/>
    <row r="35" s="1" customFormat="1" ht="22.5" customHeight="1" spans="1:5">
      <c r="A35" s="33" t="s">
        <v>60</v>
      </c>
      <c r="B35" s="7" t="s">
        <v>61</v>
      </c>
      <c r="C35" s="34">
        <v>1</v>
      </c>
      <c r="D35" s="7">
        <f>COUNTIF(F:F,B35)</f>
        <v>0</v>
      </c>
      <c r="E35" s="7">
        <f t="shared" ref="E35:E43" si="0">C35-D35</f>
        <v>1</v>
      </c>
    </row>
    <row r="36" s="1" customFormat="1" ht="22.5" customHeight="1" spans="1:5">
      <c r="A36" s="33" t="s">
        <v>60</v>
      </c>
      <c r="B36" s="7" t="s">
        <v>27</v>
      </c>
      <c r="C36" s="34">
        <v>977</v>
      </c>
      <c r="D36" s="7">
        <f>COUNTIF(F:F,B36)</f>
        <v>1</v>
      </c>
      <c r="E36" s="7">
        <f t="shared" si="0"/>
        <v>976</v>
      </c>
    </row>
    <row r="37" s="1" customFormat="1" ht="22.5" customHeight="1" spans="1:5">
      <c r="A37" s="33" t="s">
        <v>60</v>
      </c>
      <c r="B37" s="7" t="s">
        <v>21</v>
      </c>
      <c r="C37" s="35">
        <v>408</v>
      </c>
      <c r="D37" s="7">
        <f>COUNTIF(F:F,B37)</f>
        <v>3</v>
      </c>
      <c r="E37" s="7">
        <f t="shared" si="0"/>
        <v>405</v>
      </c>
    </row>
    <row r="38" s="1" customFormat="1" ht="22.5" customHeight="1" spans="1:5">
      <c r="A38" s="33" t="s">
        <v>60</v>
      </c>
      <c r="B38" s="17" t="s">
        <v>62</v>
      </c>
      <c r="C38" s="35">
        <v>83</v>
      </c>
      <c r="D38" s="7">
        <f>COUNTIF(F:F,"再就业")+COUNTIF(F:F,"小贷")</f>
        <v>0</v>
      </c>
      <c r="E38" s="7">
        <f t="shared" si="0"/>
        <v>83</v>
      </c>
    </row>
    <row r="39" s="1" customFormat="1" ht="22.5" customHeight="1" spans="1:5">
      <c r="A39" s="33" t="s">
        <v>60</v>
      </c>
      <c r="B39" s="17" t="s">
        <v>63</v>
      </c>
      <c r="C39" s="35">
        <v>1</v>
      </c>
      <c r="D39" s="7">
        <f>COUNTIF(F:F,B39)</f>
        <v>0</v>
      </c>
      <c r="E39" s="7">
        <f t="shared" si="0"/>
        <v>1</v>
      </c>
    </row>
    <row r="40" s="1" customFormat="1" ht="22.5" customHeight="1" spans="1:5">
      <c r="A40" s="33" t="s">
        <v>60</v>
      </c>
      <c r="B40" s="7" t="s">
        <v>64</v>
      </c>
      <c r="C40" s="35">
        <v>617</v>
      </c>
      <c r="D40" s="7">
        <f>COUNTIF(F:F,B40)</f>
        <v>1</v>
      </c>
      <c r="E40" s="7">
        <f t="shared" si="0"/>
        <v>616</v>
      </c>
    </row>
    <row r="41" s="1" customFormat="1" ht="22.5" customHeight="1" spans="1:5">
      <c r="A41" s="33" t="s">
        <v>60</v>
      </c>
      <c r="B41" s="7" t="s">
        <v>13</v>
      </c>
      <c r="C41" s="35">
        <v>821</v>
      </c>
      <c r="D41" s="7">
        <f>COUNTIF(F:F,B41)</f>
        <v>1</v>
      </c>
      <c r="E41" s="7">
        <f t="shared" si="0"/>
        <v>820</v>
      </c>
    </row>
    <row r="42" s="1" customFormat="1" ht="22.5" customHeight="1" spans="1:5">
      <c r="A42" s="33" t="s">
        <v>60</v>
      </c>
      <c r="B42" s="7" t="s">
        <v>31</v>
      </c>
      <c r="C42" s="35">
        <v>4520</v>
      </c>
      <c r="D42" s="7">
        <f>COUNTIF(F:F,B42)</f>
        <v>10</v>
      </c>
      <c r="E42" s="7">
        <f t="shared" si="0"/>
        <v>4510</v>
      </c>
    </row>
    <row r="43" s="1" customFormat="1" ht="22.5" customHeight="1" spans="1:5">
      <c r="A43" s="33" t="s">
        <v>60</v>
      </c>
      <c r="B43" s="7" t="s">
        <v>65</v>
      </c>
      <c r="C43" s="36">
        <v>41</v>
      </c>
      <c r="D43" s="7">
        <f>COUNTIF(F:F,B43)</f>
        <v>0</v>
      </c>
      <c r="E43" s="7">
        <f t="shared" si="0"/>
        <v>41</v>
      </c>
    </row>
    <row r="44" s="1" customFormat="1" ht="22.5" customHeight="1" spans="1:5">
      <c r="A44" s="37"/>
      <c r="B44" s="7"/>
      <c r="C44" s="7">
        <f>SUM(C35:C43)</f>
        <v>7469</v>
      </c>
      <c r="D44" s="7">
        <f>SUM(D35:D43)</f>
        <v>16</v>
      </c>
      <c r="E44" s="7">
        <f>SUM(E35:E43)</f>
        <v>7453</v>
      </c>
    </row>
    <row r="45" s="1" customFormat="1" ht="22.5" customHeight="1"/>
  </sheetData>
  <sortState ref="B5:G21">
    <sortCondition ref="B5:B21"/>
  </sortState>
  <mergeCells count="15">
    <mergeCell ref="A1:G1"/>
    <mergeCell ref="A2:G2"/>
    <mergeCell ref="A3:G3"/>
    <mergeCell ref="B26:E26"/>
    <mergeCell ref="B27:E27"/>
    <mergeCell ref="B28:E28"/>
    <mergeCell ref="B29:E29"/>
    <mergeCell ref="B30:E30"/>
    <mergeCell ref="B31:E31"/>
    <mergeCell ref="B32:E32"/>
    <mergeCell ref="B33:E33"/>
    <mergeCell ref="A26:A27"/>
    <mergeCell ref="A28:A29"/>
    <mergeCell ref="A30:A31"/>
    <mergeCell ref="A32:A33"/>
  </mergeCells>
  <pageMargins left="0.74999998873613" right="0.74999998873613" top="0.999999984981507" bottom="0.999999984981507" header="0.509722214045487" footer="0.509722214045487"/>
  <pageSetup paperSize="9" fitToHeight="0" orientation="portrait"/>
  <headerFooter/>
  <rowBreaks count="1" manualBreakCount="1">
    <brk id="33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pageSetUpPr fitToPage="1"/>
  </sheetPr>
  <dimension ref="A1:H38"/>
  <sheetViews>
    <sheetView view="pageBreakPreview" zoomScaleNormal="100" workbookViewId="0">
      <selection activeCell="F15" sqref="F15"/>
    </sheetView>
  </sheetViews>
  <sheetFormatPr defaultColWidth="9" defaultRowHeight="14.25" outlineLevelCol="7"/>
  <cols>
    <col min="1" max="1" width="3.625" style="38" customWidth="1"/>
    <col min="2" max="2" width="7.125" style="38" customWidth="1"/>
    <col min="3" max="3" width="24.125" style="39" customWidth="1"/>
    <col min="4" max="4" width="8" style="40" customWidth="1"/>
    <col min="5" max="5" width="11.875" style="40" customWidth="1"/>
    <col min="6" max="6" width="8.75" style="38" customWidth="1"/>
    <col min="7" max="7" width="5.375" style="38" customWidth="1"/>
    <col min="8" max="8" width="10.25" style="41" customWidth="1"/>
    <col min="9" max="12" width="9" style="41"/>
    <col min="13" max="13" width="0.5" style="41" customWidth="1"/>
    <col min="14" max="17" width="9" style="41" hidden="1"/>
    <col min="18" max="16384" width="9" style="41"/>
  </cols>
  <sheetData>
    <row r="1" ht="21" customHeight="1" spans="1:8">
      <c r="A1" s="42" t="s">
        <v>0</v>
      </c>
      <c r="B1" s="43"/>
      <c r="C1" s="43"/>
      <c r="D1" s="43"/>
      <c r="E1" s="43"/>
      <c r="F1" s="43"/>
      <c r="G1" s="43"/>
      <c r="H1" s="44"/>
    </row>
    <row r="2" ht="21" customHeight="1" spans="1:8">
      <c r="A2" s="45" t="s">
        <v>1</v>
      </c>
      <c r="B2" s="46"/>
      <c r="C2" s="47"/>
      <c r="D2" s="46"/>
      <c r="E2" s="46"/>
      <c r="F2" s="46"/>
      <c r="G2" s="46"/>
      <c r="H2" s="48"/>
    </row>
    <row r="3" ht="21" customHeight="1" spans="1:8">
      <c r="A3" s="49" t="s">
        <v>2</v>
      </c>
      <c r="B3" s="50"/>
      <c r="C3" s="51"/>
      <c r="D3" s="50"/>
      <c r="E3" s="50"/>
      <c r="F3" s="50"/>
      <c r="G3" s="50"/>
      <c r="H3" s="48"/>
    </row>
    <row r="4" ht="40" customHeight="1" spans="1:8">
      <c r="A4" s="52" t="s">
        <v>3</v>
      </c>
      <c r="B4" s="53" t="s">
        <v>4</v>
      </c>
      <c r="C4" s="53" t="s">
        <v>5</v>
      </c>
      <c r="D4" s="53" t="s">
        <v>279</v>
      </c>
      <c r="E4" s="53" t="s">
        <v>7</v>
      </c>
      <c r="F4" s="54" t="s">
        <v>280</v>
      </c>
      <c r="G4" s="55" t="s">
        <v>9</v>
      </c>
      <c r="H4" s="23" t="s">
        <v>281</v>
      </c>
    </row>
    <row r="5" ht="24" customHeight="1" spans="1:8">
      <c r="A5" s="56">
        <v>1</v>
      </c>
      <c r="B5" s="57">
        <v>12411</v>
      </c>
      <c r="C5" s="143" t="s">
        <v>634</v>
      </c>
      <c r="D5" s="59" t="s">
        <v>635</v>
      </c>
      <c r="E5" s="59" t="s">
        <v>635</v>
      </c>
      <c r="F5" s="59" t="s">
        <v>31</v>
      </c>
      <c r="G5" s="60">
        <v>1</v>
      </c>
      <c r="H5" s="61"/>
    </row>
    <row r="6" ht="24" customHeight="1" spans="1:8">
      <c r="A6" s="56">
        <v>2</v>
      </c>
      <c r="B6" s="57">
        <v>13026</v>
      </c>
      <c r="C6" s="62" t="s">
        <v>636</v>
      </c>
      <c r="D6" s="62" t="s">
        <v>637</v>
      </c>
      <c r="E6" s="62" t="s">
        <v>638</v>
      </c>
      <c r="F6" s="59" t="s">
        <v>31</v>
      </c>
      <c r="G6" s="60">
        <v>1</v>
      </c>
      <c r="H6" s="61"/>
    </row>
    <row r="7" ht="24" customHeight="1" spans="1:8">
      <c r="A7" s="56">
        <v>3</v>
      </c>
      <c r="B7" s="63">
        <v>14476</v>
      </c>
      <c r="C7" s="143" t="s">
        <v>639</v>
      </c>
      <c r="D7" s="59" t="s">
        <v>640</v>
      </c>
      <c r="E7" s="59" t="s">
        <v>640</v>
      </c>
      <c r="F7" s="59" t="s">
        <v>31</v>
      </c>
      <c r="G7" s="60">
        <v>1</v>
      </c>
      <c r="H7" s="61"/>
    </row>
    <row r="8" ht="24" customHeight="1" spans="1:8">
      <c r="A8" s="56">
        <v>4</v>
      </c>
      <c r="B8" s="63">
        <v>14534</v>
      </c>
      <c r="C8" s="58" t="s">
        <v>514</v>
      </c>
      <c r="D8" s="59" t="s">
        <v>515</v>
      </c>
      <c r="E8" s="59" t="s">
        <v>516</v>
      </c>
      <c r="F8" s="59" t="s">
        <v>31</v>
      </c>
      <c r="G8" s="60">
        <v>1</v>
      </c>
      <c r="H8" s="64" t="s">
        <v>641</v>
      </c>
    </row>
    <row r="9" ht="24" customHeight="1" spans="1:8">
      <c r="A9" s="56">
        <v>5</v>
      </c>
      <c r="B9" s="65">
        <v>14675</v>
      </c>
      <c r="C9" s="58" t="s">
        <v>642</v>
      </c>
      <c r="D9" s="59" t="s">
        <v>643</v>
      </c>
      <c r="E9" s="59" t="s">
        <v>643</v>
      </c>
      <c r="F9" s="59" t="s">
        <v>31</v>
      </c>
      <c r="G9" s="60">
        <v>1</v>
      </c>
      <c r="H9" s="61"/>
    </row>
    <row r="10" ht="24" customHeight="1" spans="1:8">
      <c r="A10" s="56">
        <v>6</v>
      </c>
      <c r="B10" s="57"/>
      <c r="C10" s="66"/>
      <c r="D10" s="67"/>
      <c r="E10" s="67"/>
      <c r="F10" s="68"/>
      <c r="G10" s="60"/>
      <c r="H10" s="61"/>
    </row>
    <row r="11" ht="24" customHeight="1" spans="1:8">
      <c r="A11" s="56">
        <v>7</v>
      </c>
      <c r="B11" s="63"/>
      <c r="C11" s="69"/>
      <c r="D11" s="63"/>
      <c r="E11" s="70"/>
      <c r="F11" s="68"/>
      <c r="G11" s="60"/>
      <c r="H11" s="61"/>
    </row>
    <row r="12" ht="24" customHeight="1" spans="1:8">
      <c r="A12" s="56">
        <v>8</v>
      </c>
      <c r="B12" s="63"/>
      <c r="C12" s="69"/>
      <c r="D12" s="68"/>
      <c r="E12" s="68"/>
      <c r="F12" s="68"/>
      <c r="G12" s="60"/>
      <c r="H12" s="61"/>
    </row>
    <row r="13" ht="24" customHeight="1" spans="1:8">
      <c r="A13" s="56">
        <v>9</v>
      </c>
      <c r="B13" s="71"/>
      <c r="C13" s="72"/>
      <c r="D13" s="68"/>
      <c r="E13" s="71"/>
      <c r="F13" s="68"/>
      <c r="G13" s="60"/>
      <c r="H13" s="61"/>
    </row>
    <row r="14" ht="24" customHeight="1" spans="1:8">
      <c r="A14" s="56">
        <v>10</v>
      </c>
      <c r="B14" s="65"/>
      <c r="C14" s="66"/>
      <c r="D14" s="68"/>
      <c r="E14" s="71"/>
      <c r="F14" s="68"/>
      <c r="G14" s="60"/>
      <c r="H14" s="61"/>
    </row>
    <row r="15" ht="24" customHeight="1" spans="1:8">
      <c r="A15" s="56">
        <v>11</v>
      </c>
      <c r="B15" s="57"/>
      <c r="C15" s="57"/>
      <c r="D15" s="57"/>
      <c r="E15" s="65"/>
      <c r="F15" s="68"/>
      <c r="G15" s="60"/>
      <c r="H15" s="61"/>
    </row>
    <row r="16" ht="24" customHeight="1" spans="1:8">
      <c r="A16" s="56">
        <v>12</v>
      </c>
      <c r="B16" s="73"/>
      <c r="C16" s="73"/>
      <c r="D16" s="74"/>
      <c r="E16" s="75"/>
      <c r="F16" s="76"/>
      <c r="G16" s="55"/>
      <c r="H16" s="48"/>
    </row>
    <row r="17" ht="21" customHeight="1" spans="1:8">
      <c r="A17" s="77" t="s">
        <v>291</v>
      </c>
      <c r="B17" s="77"/>
      <c r="C17" s="78"/>
      <c r="D17" s="77"/>
      <c r="E17" s="77"/>
      <c r="F17" s="79"/>
      <c r="G17" s="77"/>
      <c r="H17" s="48"/>
    </row>
    <row r="18" ht="26" customHeight="1" spans="1:8">
      <c r="A18" s="80" t="s">
        <v>292</v>
      </c>
      <c r="B18" s="81"/>
      <c r="C18" s="82" t="s">
        <v>293</v>
      </c>
      <c r="D18" s="83"/>
      <c r="E18" s="83"/>
      <c r="F18" s="83"/>
      <c r="G18" s="83"/>
      <c r="H18" s="84"/>
    </row>
    <row r="19" ht="24" customHeight="1" spans="1:8">
      <c r="A19" s="85"/>
      <c r="B19" s="86"/>
      <c r="C19" s="82" t="s">
        <v>294</v>
      </c>
      <c r="D19" s="83"/>
      <c r="E19" s="83"/>
      <c r="F19" s="83"/>
      <c r="G19" s="83"/>
      <c r="H19" s="84"/>
    </row>
    <row r="20" ht="24" customHeight="1" spans="1:8">
      <c r="A20" s="87"/>
      <c r="B20" s="88"/>
      <c r="C20" s="82" t="s">
        <v>295</v>
      </c>
      <c r="D20" s="83"/>
      <c r="E20" s="83"/>
      <c r="F20" s="83"/>
      <c r="G20" s="83"/>
      <c r="H20" s="84"/>
    </row>
    <row r="21" ht="32" customHeight="1" spans="1:8">
      <c r="A21" s="89" t="s">
        <v>52</v>
      </c>
      <c r="B21" s="89"/>
      <c r="C21" s="90" t="s">
        <v>296</v>
      </c>
      <c r="D21" s="90"/>
      <c r="E21" s="90"/>
      <c r="F21" s="90"/>
      <c r="G21" s="90"/>
      <c r="H21" s="90"/>
    </row>
    <row r="22" ht="25" customHeight="1" spans="1:8">
      <c r="A22" s="89" t="s">
        <v>297</v>
      </c>
      <c r="B22" s="89"/>
      <c r="C22" s="91" t="s">
        <v>298</v>
      </c>
      <c r="D22" s="91"/>
      <c r="E22" s="91"/>
      <c r="F22" s="91"/>
      <c r="G22" s="91"/>
      <c r="H22" s="91"/>
    </row>
    <row r="23" ht="27" customHeight="1" spans="1:8">
      <c r="A23" s="89"/>
      <c r="B23" s="89"/>
      <c r="C23" s="92" t="s">
        <v>299</v>
      </c>
      <c r="D23" s="93"/>
      <c r="E23" s="93"/>
      <c r="F23" s="93"/>
      <c r="G23" s="93"/>
      <c r="H23" s="94"/>
    </row>
    <row r="24" ht="24" customHeight="1" spans="1:8">
      <c r="A24" s="95" t="s">
        <v>292</v>
      </c>
      <c r="B24" s="96"/>
      <c r="C24" s="92" t="s">
        <v>300</v>
      </c>
      <c r="D24" s="97"/>
      <c r="E24" s="97"/>
      <c r="F24" s="97"/>
      <c r="G24" s="97"/>
      <c r="H24" s="98"/>
    </row>
    <row r="25" ht="24" customHeight="1" spans="1:8">
      <c r="A25" s="99"/>
      <c r="B25" s="100"/>
      <c r="C25" s="92" t="s">
        <v>301</v>
      </c>
      <c r="D25" s="97"/>
      <c r="E25" s="97"/>
      <c r="F25" s="97"/>
      <c r="G25" s="97"/>
      <c r="H25" s="98"/>
    </row>
    <row r="26" ht="21" customHeight="1" spans="1:7">
      <c r="A26" s="96"/>
      <c r="B26" s="96"/>
      <c r="D26" s="96"/>
      <c r="E26" s="96"/>
      <c r="F26" s="39"/>
      <c r="G26" s="39"/>
    </row>
    <row r="27" ht="21" customHeight="1" spans="1:7">
      <c r="A27" s="96"/>
      <c r="B27" s="96"/>
      <c r="D27" s="96"/>
      <c r="E27" s="96"/>
      <c r="F27" s="39"/>
      <c r="G27" s="39"/>
    </row>
    <row r="29" ht="21" customHeight="1" spans="2:6">
      <c r="B29" s="33" t="s">
        <v>60</v>
      </c>
      <c r="C29" s="7" t="s">
        <v>61</v>
      </c>
      <c r="D29" s="34">
        <v>1</v>
      </c>
      <c r="E29" s="7">
        <v>0</v>
      </c>
      <c r="F29" s="7">
        <f t="shared" ref="F29:F37" si="0">D29-E29</f>
        <v>1</v>
      </c>
    </row>
    <row r="30" ht="21" customHeight="1" spans="2:6">
      <c r="B30" s="33" t="s">
        <v>60</v>
      </c>
      <c r="C30" s="7" t="s">
        <v>27</v>
      </c>
      <c r="D30" s="34">
        <v>974</v>
      </c>
      <c r="E30" s="7">
        <v>0</v>
      </c>
      <c r="F30" s="7">
        <f t="shared" si="0"/>
        <v>974</v>
      </c>
    </row>
    <row r="31" ht="21" customHeight="1" spans="2:6">
      <c r="B31" s="33" t="s">
        <v>60</v>
      </c>
      <c r="C31" s="7" t="s">
        <v>21</v>
      </c>
      <c r="D31" s="35">
        <v>408</v>
      </c>
      <c r="E31" s="7">
        <v>0</v>
      </c>
      <c r="F31" s="7">
        <f t="shared" si="0"/>
        <v>408</v>
      </c>
    </row>
    <row r="32" ht="21" customHeight="1" spans="2:6">
      <c r="B32" s="33" t="s">
        <v>60</v>
      </c>
      <c r="C32" s="17" t="s">
        <v>62</v>
      </c>
      <c r="D32" s="35">
        <v>83</v>
      </c>
      <c r="E32" s="7">
        <v>0</v>
      </c>
      <c r="F32" s="7">
        <f t="shared" si="0"/>
        <v>83</v>
      </c>
    </row>
    <row r="33" ht="21" customHeight="1" spans="2:6">
      <c r="B33" s="33" t="s">
        <v>60</v>
      </c>
      <c r="C33" s="17" t="s">
        <v>63</v>
      </c>
      <c r="D33" s="35">
        <v>1</v>
      </c>
      <c r="E33" s="7">
        <v>0</v>
      </c>
      <c r="F33" s="7">
        <f t="shared" si="0"/>
        <v>1</v>
      </c>
    </row>
    <row r="34" ht="21" customHeight="1" spans="2:6">
      <c r="B34" s="33" t="s">
        <v>60</v>
      </c>
      <c r="C34" s="7" t="s">
        <v>64</v>
      </c>
      <c r="D34" s="35">
        <v>613</v>
      </c>
      <c r="E34" s="7">
        <v>0</v>
      </c>
      <c r="F34" s="7">
        <f t="shared" si="0"/>
        <v>613</v>
      </c>
    </row>
    <row r="35" ht="21" customHeight="1" spans="2:6">
      <c r="B35" s="33" t="s">
        <v>60</v>
      </c>
      <c r="C35" s="7" t="s">
        <v>13</v>
      </c>
      <c r="D35" s="35">
        <v>821</v>
      </c>
      <c r="E35" s="7">
        <v>0</v>
      </c>
      <c r="F35" s="7">
        <f t="shared" si="0"/>
        <v>821</v>
      </c>
    </row>
    <row r="36" ht="21" customHeight="1" spans="2:6">
      <c r="B36" s="33" t="s">
        <v>60</v>
      </c>
      <c r="C36" s="7" t="s">
        <v>31</v>
      </c>
      <c r="D36" s="35">
        <v>4522</v>
      </c>
      <c r="E36" s="7">
        <v>4</v>
      </c>
      <c r="F36" s="7">
        <f t="shared" si="0"/>
        <v>4518</v>
      </c>
    </row>
    <row r="37" ht="21" customHeight="1" spans="2:6">
      <c r="B37" s="33" t="s">
        <v>60</v>
      </c>
      <c r="C37" s="7" t="s">
        <v>65</v>
      </c>
      <c r="D37" s="36">
        <v>40</v>
      </c>
      <c r="E37" s="7">
        <v>0</v>
      </c>
      <c r="F37" s="7">
        <f t="shared" si="0"/>
        <v>40</v>
      </c>
    </row>
    <row r="38" ht="21" customHeight="1" spans="2:6">
      <c r="B38" s="37"/>
      <c r="C38" s="7"/>
      <c r="D38" s="7">
        <f>SUM(D29:D37)</f>
        <v>7463</v>
      </c>
      <c r="E38" s="7">
        <f>SUM(E29:E37)</f>
        <v>4</v>
      </c>
      <c r="F38" s="7">
        <f>SUM(F29:F37)</f>
        <v>7459</v>
      </c>
    </row>
  </sheetData>
  <sortState ref="B5:G9">
    <sortCondition ref="B5:B9"/>
  </sortState>
  <mergeCells count="15">
    <mergeCell ref="A1:H1"/>
    <mergeCell ref="A2:G2"/>
    <mergeCell ref="A3:G3"/>
    <mergeCell ref="C18:H18"/>
    <mergeCell ref="C19:H19"/>
    <mergeCell ref="C20:H20"/>
    <mergeCell ref="A21:B21"/>
    <mergeCell ref="C21:H21"/>
    <mergeCell ref="C22:H22"/>
    <mergeCell ref="C23:H23"/>
    <mergeCell ref="C24:H24"/>
    <mergeCell ref="C25:H25"/>
    <mergeCell ref="A18:B20"/>
    <mergeCell ref="A22:B23"/>
    <mergeCell ref="A24:B25"/>
  </mergeCells>
  <pageMargins left="0.74999998873613" right="0.74999998873613" top="0.999999984981507" bottom="0.999999984981507" header="0.499999992490753" footer="0.499999992490753"/>
  <pageSetup paperSize="9" fitToHeight="0" orientation="portrait"/>
  <headerFooter/>
  <rowBreaks count="2" manualBreakCount="2">
    <brk id="27" max="16383" man="1"/>
    <brk id="38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pageSetUpPr fitToPage="1"/>
  </sheetPr>
  <dimension ref="A1:H43"/>
  <sheetViews>
    <sheetView view="pageBreakPreview" zoomScaleNormal="100" workbookViewId="0">
      <selection activeCell="C11" sqref="C11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6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1">
      <c r="A1" s="2" t="s">
        <v>0</v>
      </c>
    </row>
    <row r="2" s="1" customFormat="1" ht="22.5" customHeight="1" spans="1:7">
      <c r="A2" s="2" t="s">
        <v>1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437</v>
      </c>
    </row>
    <row r="5" s="1" customFormat="1" ht="27.75" customHeight="1" spans="1:8">
      <c r="A5" s="11">
        <v>1</v>
      </c>
      <c r="B5" s="12">
        <v>4180</v>
      </c>
      <c r="C5" s="141" t="s">
        <v>644</v>
      </c>
      <c r="D5" s="12" t="s">
        <v>645</v>
      </c>
      <c r="E5" s="12" t="s">
        <v>646</v>
      </c>
      <c r="F5" s="13" t="s">
        <v>268</v>
      </c>
      <c r="G5" s="14">
        <v>1</v>
      </c>
      <c r="H5" s="11"/>
    </row>
    <row r="6" s="1" customFormat="1" ht="22.5" customHeight="1" spans="1:8">
      <c r="A6" s="11">
        <v>2</v>
      </c>
      <c r="B6" s="12">
        <v>5114</v>
      </c>
      <c r="C6" s="141" t="s">
        <v>647</v>
      </c>
      <c r="D6" s="12" t="s">
        <v>648</v>
      </c>
      <c r="E6" s="12" t="s">
        <v>648</v>
      </c>
      <c r="F6" s="13" t="s">
        <v>27</v>
      </c>
      <c r="G6" s="14">
        <v>1</v>
      </c>
      <c r="H6" s="7"/>
    </row>
    <row r="7" s="1" customFormat="1" ht="22.5" customHeight="1" spans="1:8">
      <c r="A7" s="11">
        <v>3</v>
      </c>
      <c r="B7" s="12">
        <v>5172</v>
      </c>
      <c r="C7" s="12" t="s">
        <v>649</v>
      </c>
      <c r="D7" s="12" t="s">
        <v>650</v>
      </c>
      <c r="E7" s="12" t="s">
        <v>651</v>
      </c>
      <c r="F7" s="13" t="s">
        <v>27</v>
      </c>
      <c r="G7" s="14">
        <v>1</v>
      </c>
      <c r="H7" s="7"/>
    </row>
    <row r="8" s="1" customFormat="1" ht="22.5" customHeight="1" spans="1:8">
      <c r="A8" s="11">
        <v>4</v>
      </c>
      <c r="B8" s="17">
        <v>11477</v>
      </c>
      <c r="C8" s="17" t="s">
        <v>652</v>
      </c>
      <c r="D8" s="17" t="s">
        <v>653</v>
      </c>
      <c r="E8" s="17" t="s">
        <v>654</v>
      </c>
      <c r="F8" s="16" t="s">
        <v>31</v>
      </c>
      <c r="G8" s="14">
        <v>1</v>
      </c>
      <c r="H8" s="7"/>
    </row>
    <row r="9" s="1" customFormat="1" ht="18.75" spans="1:8">
      <c r="A9" s="11">
        <v>5</v>
      </c>
      <c r="B9" s="17">
        <v>12836</v>
      </c>
      <c r="C9" s="142" t="s">
        <v>655</v>
      </c>
      <c r="D9" s="17" t="s">
        <v>656</v>
      </c>
      <c r="E9" s="17" t="s">
        <v>656</v>
      </c>
      <c r="F9" s="16" t="s">
        <v>31</v>
      </c>
      <c r="G9" s="14">
        <v>1</v>
      </c>
      <c r="H9" s="7"/>
    </row>
    <row r="10" s="1" customFormat="1" ht="22.5" customHeight="1" spans="1:8">
      <c r="A10" s="11">
        <v>6</v>
      </c>
      <c r="B10" s="17">
        <v>12880</v>
      </c>
      <c r="C10" s="17" t="s">
        <v>657</v>
      </c>
      <c r="D10" s="17" t="s">
        <v>658</v>
      </c>
      <c r="E10" s="17" t="s">
        <v>658</v>
      </c>
      <c r="F10" s="16" t="s">
        <v>31</v>
      </c>
      <c r="G10" s="14">
        <v>1</v>
      </c>
      <c r="H10" s="7"/>
    </row>
    <row r="11" s="1" customFormat="1" ht="22.5" customHeight="1" spans="1:8">
      <c r="A11" s="11">
        <v>7</v>
      </c>
      <c r="B11" s="17">
        <v>13056</v>
      </c>
      <c r="C11" s="17" t="s">
        <v>659</v>
      </c>
      <c r="D11" s="17" t="s">
        <v>660</v>
      </c>
      <c r="E11" s="17" t="s">
        <v>661</v>
      </c>
      <c r="F11" s="16" t="s">
        <v>31</v>
      </c>
      <c r="G11" s="14">
        <v>1</v>
      </c>
      <c r="H11" s="7"/>
    </row>
    <row r="12" s="1" customFormat="1" ht="22.5" customHeight="1" spans="1:8">
      <c r="A12" s="11">
        <v>8</v>
      </c>
      <c r="B12" s="15">
        <v>14035</v>
      </c>
      <c r="C12" s="15" t="s">
        <v>662</v>
      </c>
      <c r="D12" s="7" t="s">
        <v>663</v>
      </c>
      <c r="E12" s="7" t="s">
        <v>664</v>
      </c>
      <c r="F12" s="16" t="s">
        <v>31</v>
      </c>
      <c r="G12" s="14">
        <v>1</v>
      </c>
      <c r="H12" s="7"/>
    </row>
    <row r="13" s="1" customFormat="1" ht="22.5" customHeight="1" spans="1:8">
      <c r="A13" s="11">
        <v>9</v>
      </c>
      <c r="B13" s="17">
        <v>15082</v>
      </c>
      <c r="C13" s="17" t="s">
        <v>665</v>
      </c>
      <c r="D13" s="17" t="s">
        <v>666</v>
      </c>
      <c r="E13" s="17" t="s">
        <v>667</v>
      </c>
      <c r="F13" s="16" t="s">
        <v>31</v>
      </c>
      <c r="G13" s="14">
        <v>1</v>
      </c>
      <c r="H13" s="7"/>
    </row>
    <row r="14" s="1" customFormat="1" ht="22.5" customHeight="1" spans="1:8">
      <c r="A14" s="11">
        <v>10</v>
      </c>
      <c r="B14" s="12">
        <v>12978</v>
      </c>
      <c r="C14" s="141" t="s">
        <v>668</v>
      </c>
      <c r="D14" s="12" t="s">
        <v>669</v>
      </c>
      <c r="E14" s="12" t="s">
        <v>669</v>
      </c>
      <c r="F14" s="16" t="s">
        <v>31</v>
      </c>
      <c r="G14" s="14">
        <v>1</v>
      </c>
      <c r="H14" s="7"/>
    </row>
    <row r="15" s="1" customFormat="1" ht="22.5" customHeight="1" spans="1:8">
      <c r="A15" s="11">
        <v>11</v>
      </c>
      <c r="B15" s="12"/>
      <c r="C15" s="12"/>
      <c r="D15" s="12"/>
      <c r="E15" s="12"/>
      <c r="F15" s="17"/>
      <c r="G15" s="18"/>
      <c r="H15" s="7"/>
    </row>
    <row r="16" s="1" customFormat="1" ht="22.5" customHeight="1" spans="1:8">
      <c r="A16" s="11">
        <v>12</v>
      </c>
      <c r="B16" s="12"/>
      <c r="C16" s="12"/>
      <c r="D16" s="12"/>
      <c r="E16" s="12"/>
      <c r="F16" s="17"/>
      <c r="G16" s="18"/>
      <c r="H16" s="7"/>
    </row>
    <row r="17" s="1" customFormat="1" ht="22.5" customHeight="1" spans="1:8">
      <c r="A17" s="11">
        <v>13</v>
      </c>
      <c r="B17" s="12"/>
      <c r="C17" s="12"/>
      <c r="D17" s="12"/>
      <c r="E17" s="12"/>
      <c r="F17" s="17"/>
      <c r="G17" s="18"/>
      <c r="H17" s="7"/>
    </row>
    <row r="18" s="1" customFormat="1" ht="22.5" customHeight="1" spans="1:8">
      <c r="A18" s="11">
        <v>14</v>
      </c>
      <c r="B18" s="12"/>
      <c r="C18" s="12"/>
      <c r="D18" s="12"/>
      <c r="E18" s="12"/>
      <c r="F18" s="17"/>
      <c r="G18" s="18"/>
      <c r="H18" s="7"/>
    </row>
    <row r="19" s="1" customFormat="1" ht="22.5" customHeight="1" spans="1:8">
      <c r="A19" s="11">
        <v>15</v>
      </c>
      <c r="B19" s="12"/>
      <c r="C19" s="12"/>
      <c r="D19" s="12"/>
      <c r="E19" s="12"/>
      <c r="F19" s="17"/>
      <c r="G19" s="18"/>
      <c r="H19" s="7"/>
    </row>
    <row r="20" s="1" customFormat="1" ht="22.5" customHeight="1" spans="1:8">
      <c r="A20" s="11">
        <v>16</v>
      </c>
      <c r="B20" s="12"/>
      <c r="C20" s="12"/>
      <c r="D20" s="12"/>
      <c r="E20" s="12"/>
      <c r="F20" s="13"/>
      <c r="G20" s="14"/>
      <c r="H20" s="7"/>
    </row>
    <row r="21" s="1" customFormat="1" ht="22.5" customHeight="1" spans="1:7">
      <c r="A21" s="11">
        <v>17</v>
      </c>
      <c r="B21" s="17"/>
      <c r="C21" s="17"/>
      <c r="D21" s="17"/>
      <c r="E21" s="17"/>
      <c r="F21" s="17"/>
      <c r="G21" s="9"/>
    </row>
    <row r="22" s="1" customFormat="1" ht="22.5" customHeight="1" spans="1:7">
      <c r="A22" s="19" t="s">
        <v>47</v>
      </c>
      <c r="B22" s="20"/>
      <c r="C22" s="20"/>
      <c r="D22" s="20"/>
      <c r="E22" s="20"/>
      <c r="F22" s="20"/>
      <c r="G22" s="20"/>
    </row>
    <row r="23" s="1" customFormat="1" ht="22.5" customHeight="1" spans="1:8">
      <c r="A23" s="21" t="s">
        <v>48</v>
      </c>
      <c r="B23" s="22"/>
      <c r="C23" s="22"/>
      <c r="D23" s="22"/>
      <c r="E23" s="23"/>
      <c r="F23" s="24"/>
      <c r="G23" s="24"/>
      <c r="H23" s="7"/>
    </row>
    <row r="24" s="1" customFormat="1" ht="22.5" customHeight="1" spans="1:8">
      <c r="A24" s="7" t="s">
        <v>49</v>
      </c>
      <c r="B24" s="7" t="s">
        <v>50</v>
      </c>
      <c r="C24" s="7"/>
      <c r="D24" s="7"/>
      <c r="E24" s="7"/>
      <c r="F24" s="24"/>
      <c r="G24" s="24"/>
      <c r="H24" s="7"/>
    </row>
    <row r="25" s="1" customFormat="1" ht="22.5" customHeight="1" spans="1:8">
      <c r="A25" s="7"/>
      <c r="B25" s="7" t="s">
        <v>51</v>
      </c>
      <c r="C25" s="7"/>
      <c r="D25" s="7"/>
      <c r="E25" s="7"/>
      <c r="F25" s="24"/>
      <c r="G25" s="24"/>
      <c r="H25" s="7"/>
    </row>
    <row r="26" s="1" customFormat="1" ht="22.5" customHeight="1" spans="1:8">
      <c r="A26" s="25" t="s">
        <v>52</v>
      </c>
      <c r="B26" s="26" t="s">
        <v>53</v>
      </c>
      <c r="C26" s="27"/>
      <c r="D26" s="27"/>
      <c r="E26" s="28"/>
      <c r="F26" s="24"/>
      <c r="G26" s="24"/>
      <c r="H26" s="7"/>
    </row>
    <row r="27" s="1" customFormat="1" ht="22.5" customHeight="1" spans="1:8">
      <c r="A27" s="29"/>
      <c r="B27" s="30" t="s">
        <v>54</v>
      </c>
      <c r="C27" s="31"/>
      <c r="D27" s="31"/>
      <c r="E27" s="32"/>
      <c r="F27" s="24"/>
      <c r="G27" s="24"/>
      <c r="H27" s="7"/>
    </row>
    <row r="28" s="1" customFormat="1" ht="22.5" customHeight="1" spans="1:8">
      <c r="A28" s="17" t="s">
        <v>55</v>
      </c>
      <c r="B28" s="7" t="s">
        <v>56</v>
      </c>
      <c r="C28" s="7"/>
      <c r="D28" s="7"/>
      <c r="E28" s="7"/>
      <c r="F28" s="24"/>
      <c r="G28" s="24"/>
      <c r="H28" s="7"/>
    </row>
    <row r="29" s="1" customFormat="1" ht="22.5" customHeight="1" spans="1:8">
      <c r="A29" s="17"/>
      <c r="B29" s="7" t="s">
        <v>56</v>
      </c>
      <c r="C29" s="7"/>
      <c r="D29" s="7"/>
      <c r="E29" s="7"/>
      <c r="F29" s="24"/>
      <c r="G29" s="24"/>
      <c r="H29" s="7"/>
    </row>
    <row r="30" s="1" customFormat="1" ht="22.5" customHeight="1" spans="1:8">
      <c r="A30" s="17" t="s">
        <v>57</v>
      </c>
      <c r="B30" s="7" t="s">
        <v>58</v>
      </c>
      <c r="C30" s="7"/>
      <c r="D30" s="7"/>
      <c r="E30" s="7"/>
      <c r="F30" s="24"/>
      <c r="G30" s="24"/>
      <c r="H30" s="7"/>
    </row>
    <row r="31" s="1" customFormat="1" ht="22.5" customHeight="1" spans="1:8">
      <c r="A31" s="17"/>
      <c r="B31" s="7" t="s">
        <v>59</v>
      </c>
      <c r="C31" s="7"/>
      <c r="D31" s="7"/>
      <c r="E31" s="7"/>
      <c r="F31" s="24"/>
      <c r="G31" s="24"/>
      <c r="H31" s="7"/>
    </row>
    <row r="32" s="1" customFormat="1" ht="22.5" customHeight="1"/>
    <row r="33" s="1" customFormat="1" ht="22.5" customHeight="1" spans="1:5">
      <c r="A33" s="33" t="s">
        <v>60</v>
      </c>
      <c r="B33" s="7" t="s">
        <v>61</v>
      </c>
      <c r="C33" s="34">
        <v>1</v>
      </c>
      <c r="D33" s="7">
        <f>COUNTIF(F:F,B33)</f>
        <v>0</v>
      </c>
      <c r="E33" s="7">
        <f t="shared" ref="E33:E41" si="0">C33-D33</f>
        <v>1</v>
      </c>
    </row>
    <row r="34" s="1" customFormat="1" ht="22.5" customHeight="1" spans="1:5">
      <c r="A34" s="33" t="s">
        <v>60</v>
      </c>
      <c r="B34" s="7" t="s">
        <v>27</v>
      </c>
      <c r="C34" s="34">
        <v>976</v>
      </c>
      <c r="D34" s="7">
        <f>COUNTIF(F:F,B34)</f>
        <v>2</v>
      </c>
      <c r="E34" s="7">
        <f t="shared" si="0"/>
        <v>974</v>
      </c>
    </row>
    <row r="35" s="1" customFormat="1" ht="22.5" customHeight="1" spans="1:5">
      <c r="A35" s="33" t="s">
        <v>60</v>
      </c>
      <c r="B35" s="7" t="s">
        <v>21</v>
      </c>
      <c r="C35" s="35">
        <v>408</v>
      </c>
      <c r="D35" s="7">
        <f>COUNTIF(F:F,B35)</f>
        <v>0</v>
      </c>
      <c r="E35" s="7">
        <f t="shared" si="0"/>
        <v>408</v>
      </c>
    </row>
    <row r="36" s="1" customFormat="1" ht="22.5" customHeight="1" spans="1:5">
      <c r="A36" s="33" t="s">
        <v>60</v>
      </c>
      <c r="B36" s="17" t="s">
        <v>62</v>
      </c>
      <c r="C36" s="35">
        <v>84</v>
      </c>
      <c r="D36" s="7">
        <f>COUNTIF(F:F,"再就业")+COUNTIF(F:F,"小贷")</f>
        <v>1</v>
      </c>
      <c r="E36" s="7">
        <f t="shared" si="0"/>
        <v>83</v>
      </c>
    </row>
    <row r="37" s="1" customFormat="1" ht="22.5" customHeight="1" spans="1:5">
      <c r="A37" s="33" t="s">
        <v>60</v>
      </c>
      <c r="B37" s="17" t="s">
        <v>63</v>
      </c>
      <c r="C37" s="35">
        <v>1</v>
      </c>
      <c r="D37" s="7">
        <f>COUNTIF(F:F,B37)</f>
        <v>0</v>
      </c>
      <c r="E37" s="7">
        <f t="shared" si="0"/>
        <v>1</v>
      </c>
    </row>
    <row r="38" s="1" customFormat="1" ht="22.5" customHeight="1" spans="1:5">
      <c r="A38" s="33" t="s">
        <v>60</v>
      </c>
      <c r="B38" s="7" t="s">
        <v>64</v>
      </c>
      <c r="C38" s="35">
        <v>613</v>
      </c>
      <c r="D38" s="7">
        <f>COUNTIF(F:F,B38)</f>
        <v>0</v>
      </c>
      <c r="E38" s="7">
        <f t="shared" si="0"/>
        <v>613</v>
      </c>
    </row>
    <row r="39" s="1" customFormat="1" ht="22.5" customHeight="1" spans="1:5">
      <c r="A39" s="33" t="s">
        <v>60</v>
      </c>
      <c r="B39" s="7" t="s">
        <v>13</v>
      </c>
      <c r="C39" s="35">
        <v>821</v>
      </c>
      <c r="D39" s="7">
        <f>COUNTIF(F:F,B39)</f>
        <v>0</v>
      </c>
      <c r="E39" s="7">
        <f t="shared" si="0"/>
        <v>821</v>
      </c>
    </row>
    <row r="40" s="1" customFormat="1" ht="22.5" customHeight="1" spans="1:5">
      <c r="A40" s="33" t="s">
        <v>60</v>
      </c>
      <c r="B40" s="7" t="s">
        <v>31</v>
      </c>
      <c r="C40" s="35">
        <v>4529</v>
      </c>
      <c r="D40" s="7">
        <f>COUNTIF(F:F,B40)</f>
        <v>7</v>
      </c>
      <c r="E40" s="7">
        <f t="shared" si="0"/>
        <v>4522</v>
      </c>
    </row>
    <row r="41" s="1" customFormat="1" ht="22.5" customHeight="1" spans="1:5">
      <c r="A41" s="33" t="s">
        <v>60</v>
      </c>
      <c r="B41" s="7" t="s">
        <v>65</v>
      </c>
      <c r="C41" s="36">
        <v>40</v>
      </c>
      <c r="D41" s="7">
        <f>COUNTIF(F:F,B41)</f>
        <v>0</v>
      </c>
      <c r="E41" s="7">
        <f t="shared" si="0"/>
        <v>40</v>
      </c>
    </row>
    <row r="42" s="1" customFormat="1" ht="22.5" customHeight="1" spans="1:5">
      <c r="A42" s="37"/>
      <c r="B42" s="7"/>
      <c r="C42" s="7">
        <f>SUM(C33:C41)</f>
        <v>7473</v>
      </c>
      <c r="D42" s="7">
        <f>SUM(D33:D41)</f>
        <v>10</v>
      </c>
      <c r="E42" s="7">
        <f>SUM(E33:E41)</f>
        <v>7463</v>
      </c>
    </row>
    <row r="43" s="1" customFormat="1" ht="22.5" customHeight="1"/>
  </sheetData>
  <sortState ref="B5:G13">
    <sortCondition ref="B5:B13"/>
  </sortState>
  <mergeCells count="17">
    <mergeCell ref="A1:G1"/>
    <mergeCell ref="A2:G2"/>
    <mergeCell ref="A3:G3"/>
    <mergeCell ref="A22:G22"/>
    <mergeCell ref="A23:E23"/>
    <mergeCell ref="B24:E24"/>
    <mergeCell ref="B25:E25"/>
    <mergeCell ref="B26:E26"/>
    <mergeCell ref="B27:E27"/>
    <mergeCell ref="B28:E28"/>
    <mergeCell ref="B29:E29"/>
    <mergeCell ref="B30:E30"/>
    <mergeCell ref="B31:E31"/>
    <mergeCell ref="A24:A25"/>
    <mergeCell ref="A26:A27"/>
    <mergeCell ref="A28:A29"/>
    <mergeCell ref="A30:A31"/>
  </mergeCells>
  <pageMargins left="0.74999998873613" right="0.74999998873613" top="0.999999984981507" bottom="0.999999984981507" header="0.509722214045487" footer="0.509722214045487"/>
  <pageSetup paperSize="9" fitToHeight="0" orientation="portrait"/>
  <headerFooter/>
  <rowBreaks count="1" manualBreakCount="1">
    <brk id="3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pageSetUpPr fitToPage="1"/>
  </sheetPr>
  <dimension ref="A1:H42"/>
  <sheetViews>
    <sheetView view="pageBreakPreview" zoomScaleNormal="100" workbookViewId="0">
      <selection activeCell="C10" sqref="C10"/>
    </sheetView>
  </sheetViews>
  <sheetFormatPr defaultColWidth="9" defaultRowHeight="14.25" outlineLevelCol="7"/>
  <cols>
    <col min="1" max="1" width="12.5" style="1" customWidth="1"/>
    <col min="2" max="2" width="21.875" style="1" customWidth="1"/>
    <col min="3" max="3" width="24.25" style="1" customWidth="1"/>
    <col min="4" max="4" width="9.375" style="1" customWidth="1"/>
    <col min="5" max="5" width="14.875" style="1" customWidth="1"/>
    <col min="6" max="6" width="10.125" style="1" customWidth="1"/>
    <col min="7" max="7" width="4" style="1" customWidth="1"/>
    <col min="8" max="8" width="12.875" style="1" customWidth="1"/>
    <col min="9" max="9" width="7.75" style="1" customWidth="1"/>
    <col min="10" max="12" width="9" style="1"/>
    <col min="13" max="13" width="26.875" style="1" customWidth="1"/>
    <col min="14" max="16384" width="9" style="1"/>
  </cols>
  <sheetData>
    <row r="1" s="1" customFormat="1" ht="22.5" customHeight="1" spans="1:1">
      <c r="A1" s="2" t="s">
        <v>0</v>
      </c>
    </row>
    <row r="2" s="1" customFormat="1" ht="22.5" customHeight="1" spans="1:7">
      <c r="A2" s="2" t="s">
        <v>670</v>
      </c>
      <c r="B2" s="3"/>
      <c r="C2" s="3"/>
      <c r="D2" s="3"/>
      <c r="E2" s="3"/>
      <c r="F2" s="3"/>
      <c r="G2" s="3"/>
    </row>
    <row r="3" s="1" customFormat="1" ht="22.5" customHeight="1" spans="1:8">
      <c r="A3" s="4" t="s">
        <v>2</v>
      </c>
      <c r="B3" s="5"/>
      <c r="C3" s="6"/>
      <c r="D3" s="5"/>
      <c r="E3" s="5"/>
      <c r="F3" s="5"/>
      <c r="G3" s="5"/>
      <c r="H3" s="7"/>
    </row>
    <row r="4" s="1" customFormat="1" ht="42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1" t="s">
        <v>437</v>
      </c>
    </row>
    <row r="5" s="1" customFormat="1" ht="27.75" customHeight="1" spans="1:8">
      <c r="A5" s="11">
        <v>1</v>
      </c>
      <c r="B5" s="12">
        <v>1654</v>
      </c>
      <c r="C5" s="12" t="s">
        <v>671</v>
      </c>
      <c r="D5" s="12" t="s">
        <v>672</v>
      </c>
      <c r="E5" s="12" t="s">
        <v>672</v>
      </c>
      <c r="F5" s="13" t="s">
        <v>13</v>
      </c>
      <c r="G5" s="14">
        <v>1</v>
      </c>
      <c r="H5" s="11"/>
    </row>
    <row r="6" s="1" customFormat="1" ht="22.5" customHeight="1" spans="1:8">
      <c r="A6" s="11">
        <v>2</v>
      </c>
      <c r="B6" s="12">
        <v>1631</v>
      </c>
      <c r="C6" s="12" t="s">
        <v>673</v>
      </c>
      <c r="D6" s="12" t="s">
        <v>674</v>
      </c>
      <c r="E6" s="12" t="s">
        <v>674</v>
      </c>
      <c r="F6" s="13" t="s">
        <v>13</v>
      </c>
      <c r="G6" s="14">
        <v>1</v>
      </c>
      <c r="H6" s="7"/>
    </row>
    <row r="7" s="1" customFormat="1" ht="22.5" customHeight="1" spans="1:8">
      <c r="A7" s="11">
        <v>3</v>
      </c>
      <c r="B7" s="12">
        <v>1622</v>
      </c>
      <c r="C7" s="12" t="s">
        <v>675</v>
      </c>
      <c r="D7" s="12" t="s">
        <v>676</v>
      </c>
      <c r="E7" s="12" t="s">
        <v>676</v>
      </c>
      <c r="F7" s="13" t="s">
        <v>13</v>
      </c>
      <c r="G7" s="14">
        <v>1</v>
      </c>
      <c r="H7" s="7"/>
    </row>
    <row r="8" s="1" customFormat="1" ht="22.5" customHeight="1" spans="1:8">
      <c r="A8" s="11">
        <v>4</v>
      </c>
      <c r="B8" s="15">
        <v>4535</v>
      </c>
      <c r="C8" s="145" t="s">
        <v>677</v>
      </c>
      <c r="D8" s="7" t="s">
        <v>678</v>
      </c>
      <c r="E8" s="7" t="s">
        <v>678</v>
      </c>
      <c r="F8" s="16" t="s">
        <v>27</v>
      </c>
      <c r="G8" s="14">
        <v>1</v>
      </c>
      <c r="H8" s="7"/>
    </row>
    <row r="9" s="1" customFormat="1" ht="29" customHeight="1" spans="1:8">
      <c r="A9" s="11">
        <v>5</v>
      </c>
      <c r="B9" s="17">
        <v>9482</v>
      </c>
      <c r="C9" s="17" t="s">
        <v>679</v>
      </c>
      <c r="D9" s="17" t="s">
        <v>680</v>
      </c>
      <c r="E9" s="17" t="s">
        <v>681</v>
      </c>
      <c r="F9" s="17" t="s">
        <v>31</v>
      </c>
      <c r="G9" s="14">
        <v>1</v>
      </c>
      <c r="H9" s="7"/>
    </row>
    <row r="10" s="1" customFormat="1" ht="22.5" customHeight="1" spans="1:8">
      <c r="A10" s="11">
        <v>6</v>
      </c>
      <c r="B10" s="17">
        <v>13989</v>
      </c>
      <c r="C10" s="17" t="s">
        <v>682</v>
      </c>
      <c r="D10" s="17" t="s">
        <v>683</v>
      </c>
      <c r="E10" s="17" t="s">
        <v>683</v>
      </c>
      <c r="F10" s="17" t="s">
        <v>31</v>
      </c>
      <c r="G10" s="14">
        <v>1</v>
      </c>
      <c r="H10" s="7"/>
    </row>
    <row r="11" s="1" customFormat="1" ht="22.5" customHeight="1" spans="1:8">
      <c r="A11" s="11">
        <v>7</v>
      </c>
      <c r="B11" s="17">
        <v>14385</v>
      </c>
      <c r="C11" s="142" t="s">
        <v>684</v>
      </c>
      <c r="D11" s="17" t="s">
        <v>685</v>
      </c>
      <c r="E11" s="17" t="s">
        <v>686</v>
      </c>
      <c r="F11" s="17" t="s">
        <v>31</v>
      </c>
      <c r="G11" s="18">
        <v>1</v>
      </c>
      <c r="H11" s="7"/>
    </row>
    <row r="12" s="1" customFormat="1" ht="22.5" customHeight="1" spans="1:8">
      <c r="A12" s="11">
        <v>8</v>
      </c>
      <c r="B12" s="17">
        <v>13885</v>
      </c>
      <c r="C12" s="17" t="s">
        <v>687</v>
      </c>
      <c r="D12" s="17" t="s">
        <v>688</v>
      </c>
      <c r="E12" s="17" t="s">
        <v>688</v>
      </c>
      <c r="F12" s="17" t="s">
        <v>31</v>
      </c>
      <c r="G12" s="18">
        <v>1</v>
      </c>
      <c r="H12" s="7"/>
    </row>
    <row r="13" s="1" customFormat="1" ht="22.5" customHeight="1" spans="1:8">
      <c r="A13" s="11">
        <v>9</v>
      </c>
      <c r="B13" s="17">
        <v>10489</v>
      </c>
      <c r="C13" s="17" t="s">
        <v>689</v>
      </c>
      <c r="D13" s="17" t="s">
        <v>690</v>
      </c>
      <c r="E13" s="17" t="s">
        <v>691</v>
      </c>
      <c r="F13" s="17" t="s">
        <v>31</v>
      </c>
      <c r="G13" s="18">
        <v>1</v>
      </c>
      <c r="H13" s="7"/>
    </row>
    <row r="14" s="1" customFormat="1" ht="22.5" customHeight="1" spans="1:8">
      <c r="A14" s="11">
        <v>10</v>
      </c>
      <c r="B14" s="12">
        <v>13922</v>
      </c>
      <c r="C14" s="12" t="s">
        <v>692</v>
      </c>
      <c r="D14" s="12" t="s">
        <v>693</v>
      </c>
      <c r="E14" s="12" t="s">
        <v>694</v>
      </c>
      <c r="F14" s="17" t="s">
        <v>31</v>
      </c>
      <c r="G14" s="18">
        <v>1</v>
      </c>
      <c r="H14" s="7"/>
    </row>
    <row r="15" s="1" customFormat="1" ht="22.5" customHeight="1" spans="1:8">
      <c r="A15" s="11">
        <v>11</v>
      </c>
      <c r="B15" s="12">
        <v>13511</v>
      </c>
      <c r="C15" s="12" t="s">
        <v>695</v>
      </c>
      <c r="D15" s="12" t="s">
        <v>696</v>
      </c>
      <c r="E15" s="12" t="s">
        <v>697</v>
      </c>
      <c r="F15" s="17" t="s">
        <v>31</v>
      </c>
      <c r="G15" s="18">
        <v>1</v>
      </c>
      <c r="H15" s="7"/>
    </row>
    <row r="16" s="1" customFormat="1" ht="22.5" customHeight="1" spans="1:8">
      <c r="A16" s="11">
        <v>12</v>
      </c>
      <c r="B16" s="12">
        <v>13870</v>
      </c>
      <c r="C16" s="12" t="s">
        <v>698</v>
      </c>
      <c r="D16" s="12" t="s">
        <v>699</v>
      </c>
      <c r="E16" s="12" t="s">
        <v>699</v>
      </c>
      <c r="F16" s="17" t="s">
        <v>31</v>
      </c>
      <c r="G16" s="18">
        <v>1</v>
      </c>
      <c r="H16" s="7"/>
    </row>
    <row r="17" s="1" customFormat="1" ht="22.5" customHeight="1" spans="1:8">
      <c r="A17" s="11">
        <v>13</v>
      </c>
      <c r="B17" s="12">
        <v>13333</v>
      </c>
      <c r="C17" s="12" t="s">
        <v>700</v>
      </c>
      <c r="D17" s="12" t="s">
        <v>701</v>
      </c>
      <c r="E17" s="12" t="s">
        <v>702</v>
      </c>
      <c r="F17" s="17" t="s">
        <v>31</v>
      </c>
      <c r="G17" s="18">
        <v>1</v>
      </c>
      <c r="H17" s="7"/>
    </row>
    <row r="18" s="1" customFormat="1" ht="22.5" customHeight="1" spans="1:8">
      <c r="A18" s="11">
        <v>14</v>
      </c>
      <c r="B18" s="12">
        <v>13834</v>
      </c>
      <c r="C18" s="12" t="s">
        <v>703</v>
      </c>
      <c r="D18" s="12" t="s">
        <v>704</v>
      </c>
      <c r="E18" s="12" t="s">
        <v>705</v>
      </c>
      <c r="F18" s="17" t="s">
        <v>31</v>
      </c>
      <c r="G18" s="18">
        <v>1</v>
      </c>
      <c r="H18" s="7"/>
    </row>
    <row r="19" s="1" customFormat="1" ht="22.5" customHeight="1" spans="1:8">
      <c r="A19" s="11">
        <v>15</v>
      </c>
      <c r="B19" s="12">
        <v>13737</v>
      </c>
      <c r="C19" s="12" t="s">
        <v>706</v>
      </c>
      <c r="D19" s="12" t="s">
        <v>707</v>
      </c>
      <c r="E19" s="12" t="s">
        <v>708</v>
      </c>
      <c r="F19" s="17" t="s">
        <v>31</v>
      </c>
      <c r="G19" s="18">
        <v>1</v>
      </c>
      <c r="H19" s="7"/>
    </row>
    <row r="20" s="1" customFormat="1" ht="22.5" customHeight="1" spans="1:8">
      <c r="A20" s="11">
        <v>16</v>
      </c>
      <c r="B20" s="12">
        <v>4527</v>
      </c>
      <c r="C20" s="12" t="s">
        <v>709</v>
      </c>
      <c r="D20" s="12" t="s">
        <v>710</v>
      </c>
      <c r="E20" s="12" t="s">
        <v>711</v>
      </c>
      <c r="F20" s="13" t="s">
        <v>21</v>
      </c>
      <c r="G20" s="14">
        <v>1</v>
      </c>
      <c r="H20" s="7"/>
    </row>
    <row r="21" s="1" customFormat="1" ht="22.5" customHeight="1" spans="1:7">
      <c r="A21" s="19" t="s">
        <v>47</v>
      </c>
      <c r="B21" s="20"/>
      <c r="C21" s="20"/>
      <c r="D21" s="20"/>
      <c r="E21" s="20"/>
      <c r="F21" s="20"/>
      <c r="G21" s="20"/>
    </row>
    <row r="22" s="1" customFormat="1" ht="22.5" customHeight="1" spans="1:8">
      <c r="A22" s="21" t="s">
        <v>48</v>
      </c>
      <c r="B22" s="22"/>
      <c r="C22" s="22"/>
      <c r="D22" s="22"/>
      <c r="E22" s="23"/>
      <c r="F22" s="24"/>
      <c r="G22" s="24"/>
      <c r="H22" s="7"/>
    </row>
    <row r="23" s="1" customFormat="1" ht="22.5" customHeight="1" spans="1:8">
      <c r="A23" s="7" t="s">
        <v>49</v>
      </c>
      <c r="B23" s="7" t="s">
        <v>50</v>
      </c>
      <c r="C23" s="7"/>
      <c r="D23" s="7"/>
      <c r="E23" s="7"/>
      <c r="F23" s="24"/>
      <c r="G23" s="24"/>
      <c r="H23" s="7"/>
    </row>
    <row r="24" s="1" customFormat="1" ht="22.5" customHeight="1" spans="1:8">
      <c r="A24" s="7"/>
      <c r="B24" s="7" t="s">
        <v>51</v>
      </c>
      <c r="C24" s="7"/>
      <c r="D24" s="7"/>
      <c r="E24" s="7"/>
      <c r="F24" s="24"/>
      <c r="G24" s="24"/>
      <c r="H24" s="7"/>
    </row>
    <row r="25" s="1" customFormat="1" ht="22.5" customHeight="1" spans="1:8">
      <c r="A25" s="25" t="s">
        <v>52</v>
      </c>
      <c r="B25" s="26" t="s">
        <v>53</v>
      </c>
      <c r="C25" s="27"/>
      <c r="D25" s="27"/>
      <c r="E25" s="28"/>
      <c r="F25" s="24"/>
      <c r="G25" s="24"/>
      <c r="H25" s="7"/>
    </row>
    <row r="26" s="1" customFormat="1" ht="22.5" customHeight="1" spans="1:8">
      <c r="A26" s="29"/>
      <c r="B26" s="30" t="s">
        <v>54</v>
      </c>
      <c r="C26" s="31"/>
      <c r="D26" s="31"/>
      <c r="E26" s="32"/>
      <c r="F26" s="24"/>
      <c r="G26" s="24"/>
      <c r="H26" s="7"/>
    </row>
    <row r="27" s="1" customFormat="1" ht="22.5" customHeight="1" spans="1:8">
      <c r="A27" s="17" t="s">
        <v>55</v>
      </c>
      <c r="B27" s="7" t="s">
        <v>56</v>
      </c>
      <c r="C27" s="7"/>
      <c r="D27" s="7"/>
      <c r="E27" s="7"/>
      <c r="F27" s="24"/>
      <c r="G27" s="24"/>
      <c r="H27" s="7"/>
    </row>
    <row r="28" s="1" customFormat="1" ht="22.5" customHeight="1" spans="1:8">
      <c r="A28" s="17"/>
      <c r="B28" s="7" t="s">
        <v>56</v>
      </c>
      <c r="C28" s="7"/>
      <c r="D28" s="7"/>
      <c r="E28" s="7"/>
      <c r="F28" s="24"/>
      <c r="G28" s="24"/>
      <c r="H28" s="7"/>
    </row>
    <row r="29" s="1" customFormat="1" ht="22.5" customHeight="1" spans="1:8">
      <c r="A29" s="17" t="s">
        <v>57</v>
      </c>
      <c r="B29" s="7" t="s">
        <v>58</v>
      </c>
      <c r="C29" s="7"/>
      <c r="D29" s="7"/>
      <c r="E29" s="7"/>
      <c r="F29" s="24"/>
      <c r="G29" s="24"/>
      <c r="H29" s="7"/>
    </row>
    <row r="30" s="1" customFormat="1" ht="22.5" customHeight="1" spans="1:8">
      <c r="A30" s="17"/>
      <c r="B30" s="7" t="s">
        <v>59</v>
      </c>
      <c r="C30" s="7"/>
      <c r="D30" s="7"/>
      <c r="E30" s="7"/>
      <c r="F30" s="24"/>
      <c r="G30" s="24"/>
      <c r="H30" s="7"/>
    </row>
    <row r="31" s="1" customFormat="1" ht="22.5" customHeight="1"/>
    <row r="32" s="1" customFormat="1" ht="22.5" customHeight="1" spans="1:5">
      <c r="A32" s="33" t="s">
        <v>60</v>
      </c>
      <c r="B32" s="7" t="s">
        <v>61</v>
      </c>
      <c r="C32" s="34">
        <v>1</v>
      </c>
      <c r="D32" s="7">
        <v>0</v>
      </c>
      <c r="E32" s="7">
        <f t="shared" ref="E32:E40" si="0">C32-D32</f>
        <v>1</v>
      </c>
    </row>
    <row r="33" s="1" customFormat="1" ht="22.5" customHeight="1" spans="1:5">
      <c r="A33" s="33" t="s">
        <v>60</v>
      </c>
      <c r="B33" s="7" t="s">
        <v>27</v>
      </c>
      <c r="C33" s="34">
        <v>977</v>
      </c>
      <c r="D33" s="7">
        <v>1</v>
      </c>
      <c r="E33" s="7">
        <f t="shared" si="0"/>
        <v>976</v>
      </c>
    </row>
    <row r="34" s="1" customFormat="1" ht="22.5" customHeight="1" spans="1:5">
      <c r="A34" s="33" t="s">
        <v>60</v>
      </c>
      <c r="B34" s="7" t="s">
        <v>21</v>
      </c>
      <c r="C34" s="35">
        <v>409</v>
      </c>
      <c r="D34" s="7">
        <v>1</v>
      </c>
      <c r="E34" s="7">
        <f t="shared" si="0"/>
        <v>408</v>
      </c>
    </row>
    <row r="35" s="1" customFormat="1" ht="22.5" customHeight="1" spans="1:5">
      <c r="A35" s="33" t="s">
        <v>60</v>
      </c>
      <c r="B35" s="17" t="s">
        <v>62</v>
      </c>
      <c r="C35" s="35">
        <v>84</v>
      </c>
      <c r="D35" s="7">
        <v>0</v>
      </c>
      <c r="E35" s="7">
        <f t="shared" si="0"/>
        <v>84</v>
      </c>
    </row>
    <row r="36" s="1" customFormat="1" ht="22.5" customHeight="1" spans="1:5">
      <c r="A36" s="33" t="s">
        <v>60</v>
      </c>
      <c r="B36" s="17" t="s">
        <v>63</v>
      </c>
      <c r="C36" s="35">
        <v>1</v>
      </c>
      <c r="D36" s="7">
        <v>0</v>
      </c>
      <c r="E36" s="7">
        <f t="shared" si="0"/>
        <v>1</v>
      </c>
    </row>
    <row r="37" s="1" customFormat="1" ht="22.5" customHeight="1" spans="1:5">
      <c r="A37" s="33" t="s">
        <v>60</v>
      </c>
      <c r="B37" s="7" t="s">
        <v>64</v>
      </c>
      <c r="C37" s="35">
        <v>613</v>
      </c>
      <c r="D37" s="7">
        <v>0</v>
      </c>
      <c r="E37" s="7">
        <f t="shared" si="0"/>
        <v>613</v>
      </c>
    </row>
    <row r="38" s="1" customFormat="1" ht="22.5" customHeight="1" spans="1:5">
      <c r="A38" s="33" t="s">
        <v>60</v>
      </c>
      <c r="B38" s="7" t="s">
        <v>13</v>
      </c>
      <c r="C38" s="35">
        <v>824</v>
      </c>
      <c r="D38" s="7">
        <v>3</v>
      </c>
      <c r="E38" s="7">
        <f t="shared" si="0"/>
        <v>821</v>
      </c>
    </row>
    <row r="39" s="1" customFormat="1" ht="22.5" customHeight="1" spans="1:5">
      <c r="A39" s="33" t="s">
        <v>60</v>
      </c>
      <c r="B39" s="7" t="s">
        <v>31</v>
      </c>
      <c r="C39" s="35">
        <v>4542</v>
      </c>
      <c r="D39" s="7">
        <v>13</v>
      </c>
      <c r="E39" s="7">
        <f t="shared" si="0"/>
        <v>4529</v>
      </c>
    </row>
    <row r="40" s="1" customFormat="1" ht="22.5" customHeight="1" spans="1:5">
      <c r="A40" s="33" t="s">
        <v>60</v>
      </c>
      <c r="B40" s="7" t="s">
        <v>65</v>
      </c>
      <c r="C40" s="36">
        <v>40</v>
      </c>
      <c r="D40" s="7">
        <v>0</v>
      </c>
      <c r="E40" s="7">
        <f t="shared" si="0"/>
        <v>40</v>
      </c>
    </row>
    <row r="41" s="1" customFormat="1" ht="22.5" customHeight="1" spans="1:5">
      <c r="A41" s="37"/>
      <c r="B41" s="7"/>
      <c r="C41" s="7">
        <f>SUM(C32:C40)</f>
        <v>7491</v>
      </c>
      <c r="D41" s="7">
        <f>SUM(D32:D40)</f>
        <v>18</v>
      </c>
      <c r="E41" s="7">
        <f>SUM(E32:E40)</f>
        <v>7473</v>
      </c>
    </row>
    <row r="42" s="1" customFormat="1" ht="22.5" customHeight="1"/>
  </sheetData>
  <mergeCells count="17">
    <mergeCell ref="A1:G1"/>
    <mergeCell ref="A2:G2"/>
    <mergeCell ref="A3:G3"/>
    <mergeCell ref="A21:G21"/>
    <mergeCell ref="A22:E22"/>
    <mergeCell ref="B23:E23"/>
    <mergeCell ref="B24:E24"/>
    <mergeCell ref="B25:E25"/>
    <mergeCell ref="B26:E26"/>
    <mergeCell ref="B27:E27"/>
    <mergeCell ref="B28:E28"/>
    <mergeCell ref="B29:E29"/>
    <mergeCell ref="B30:E30"/>
    <mergeCell ref="A23:A24"/>
    <mergeCell ref="A25:A26"/>
    <mergeCell ref="A27:A28"/>
    <mergeCell ref="A29:A30"/>
  </mergeCells>
  <pageMargins left="0.74999998873613" right="0.74999998873613" top="0.999999984981507" bottom="0.999999984981507" header="0.509722214045487" footer="0.509722214045487"/>
  <pageSetup paperSize="9" fitToHeight="0" orientation="portrait"/>
  <headerFooter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Yozo_Office9.0.4586.102ZH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20240428</vt:lpstr>
      <vt:lpstr>20240423</vt:lpstr>
      <vt:lpstr>20240416</vt:lpstr>
      <vt:lpstr>20240412</vt:lpstr>
      <vt:lpstr>20240409</vt:lpstr>
      <vt:lpstr>20240408</vt:lpstr>
      <vt:lpstr>20240402</vt:lpstr>
      <vt:lpstr>未结清出库20240329</vt:lpstr>
      <vt:lpstr>20240329</vt:lpstr>
      <vt:lpstr>20240328</vt:lpstr>
      <vt:lpstr>未结清出库20240326</vt:lpstr>
      <vt:lpstr>20240326</vt:lpstr>
      <vt:lpstr>20240321</vt:lpstr>
      <vt:lpstr>20240320</vt:lpstr>
      <vt:lpstr>20240314</vt:lpstr>
      <vt:lpstr>20240307未结清胡库</vt:lpstr>
      <vt:lpstr>20240307</vt:lpstr>
      <vt:lpstr>20240305</vt:lpstr>
      <vt:lpstr>20240229</vt:lpstr>
      <vt:lpstr>20240227</vt:lpstr>
      <vt:lpstr>20240221</vt:lpstr>
      <vt:lpstr>20240208未结清出库</vt:lpstr>
      <vt:lpstr>20240208</vt:lpstr>
      <vt:lpstr>20240205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dkzx</cp:lastModifiedBy>
  <cp:revision>0</cp:revision>
  <dcterms:created xsi:type="dcterms:W3CDTF">2024-02-05T06:07:00Z</dcterms:created>
  <cp:lastPrinted>2024-03-26T01:45:00Z</cp:lastPrinted>
  <dcterms:modified xsi:type="dcterms:W3CDTF">2024-04-28T03:08:36Z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KSOReadingLayout">
    <vt:bool>true</vt:bool>
  </property>
</Properties>
</file>